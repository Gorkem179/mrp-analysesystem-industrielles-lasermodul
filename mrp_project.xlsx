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0113fbe863238eb/Desktop/python/"/>
    </mc:Choice>
  </mc:AlternateContent>
  <xr:revisionPtr revIDLastSave="36" documentId="11_C0A13129ADC2D7B8A65E962B966D083380BEE332" xr6:coauthVersionLast="47" xr6:coauthVersionMax="47" xr10:uidLastSave="{E76A8B0E-8D61-4624-ABAD-9C6AD4A938B6}"/>
  <bookViews>
    <workbookView xWindow="-108" yWindow="-108" windowWidth="23256" windowHeight="13896" activeTab="4" xr2:uid="{00000000-000D-0000-FFFF-FFFF00000000}"/>
  </bookViews>
  <sheets>
    <sheet name="Stückliste" sheetId="1" r:id="rId1"/>
    <sheet name="Lagerbestand" sheetId="2" r:id="rId2"/>
    <sheet name="Bewertungsmodell" sheetId="3" r:id="rId3"/>
    <sheet name="Produktionsplan" sheetId="4" r:id="rId4"/>
    <sheet name="Kapazitätsplan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5" l="1"/>
  <c r="J19" i="5"/>
  <c r="J23" i="5"/>
  <c r="J28" i="5"/>
  <c r="J29" i="5"/>
  <c r="J30" i="5"/>
  <c r="J24" i="5"/>
  <c r="J25" i="5"/>
  <c r="J26" i="5"/>
  <c r="J27" i="5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3" i="2"/>
  <c r="F30" i="5"/>
  <c r="G30" i="5" s="1"/>
  <c r="A30" i="5"/>
  <c r="F29" i="5"/>
  <c r="A29" i="5"/>
  <c r="F28" i="5"/>
  <c r="A28" i="5"/>
  <c r="F27" i="5"/>
  <c r="G27" i="5" s="1"/>
  <c r="A27" i="5"/>
  <c r="F26" i="5"/>
  <c r="A26" i="5"/>
  <c r="F25" i="5"/>
  <c r="D25" i="5"/>
  <c r="A25" i="5"/>
  <c r="F24" i="5"/>
  <c r="A24" i="5"/>
  <c r="F23" i="5"/>
  <c r="G23" i="5" s="1"/>
  <c r="A23" i="5"/>
  <c r="F22" i="5"/>
  <c r="A22" i="5"/>
  <c r="F21" i="5"/>
  <c r="A21" i="5"/>
  <c r="F20" i="5"/>
  <c r="A20" i="5"/>
  <c r="F19" i="5"/>
  <c r="A19" i="5"/>
  <c r="D5" i="5"/>
  <c r="D9" i="5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G29" i="5" l="1"/>
  <c r="G28" i="5"/>
  <c r="G26" i="5"/>
  <c r="G25" i="5"/>
  <c r="I25" i="5" s="1"/>
  <c r="H25" i="5"/>
  <c r="E25" i="5"/>
  <c r="G24" i="5"/>
  <c r="G22" i="5"/>
  <c r="G21" i="5"/>
  <c r="G20" i="5"/>
  <c r="G19" i="5"/>
  <c r="D29" i="5"/>
  <c r="D30" i="5"/>
  <c r="D21" i="5"/>
  <c r="D22" i="5"/>
  <c r="D23" i="5"/>
  <c r="D26" i="5"/>
  <c r="D24" i="5"/>
  <c r="D27" i="5"/>
  <c r="D19" i="5"/>
  <c r="D20" i="5"/>
  <c r="D28" i="5"/>
  <c r="I22" i="5" l="1"/>
  <c r="I21" i="5"/>
  <c r="I19" i="5"/>
  <c r="I24" i="5"/>
  <c r="I28" i="5"/>
  <c r="I20" i="5"/>
  <c r="E29" i="5"/>
  <c r="H29" i="5"/>
  <c r="I30" i="5"/>
  <c r="E30" i="5"/>
  <c r="H30" i="5"/>
  <c r="H21" i="5"/>
  <c r="E21" i="5"/>
  <c r="J21" i="5" s="1"/>
  <c r="E22" i="5"/>
  <c r="J22" i="5" s="1"/>
  <c r="H22" i="5"/>
  <c r="I23" i="5"/>
  <c r="E23" i="5"/>
  <c r="H23" i="5"/>
  <c r="E26" i="5"/>
  <c r="H26" i="5"/>
  <c r="E24" i="5"/>
  <c r="H24" i="5"/>
  <c r="I27" i="5"/>
  <c r="E27" i="5"/>
  <c r="H27" i="5"/>
  <c r="H19" i="5"/>
  <c r="E19" i="5"/>
  <c r="H20" i="5"/>
  <c r="E20" i="5"/>
  <c r="E28" i="5"/>
  <c r="H28" i="5"/>
  <c r="I26" i="5"/>
  <c r="I29" i="5"/>
</calcChain>
</file>

<file path=xl/sharedStrings.xml><?xml version="1.0" encoding="utf-8"?>
<sst xmlns="http://schemas.openxmlformats.org/spreadsheetml/2006/main" count="320" uniqueCount="209">
  <si>
    <t>Bewertungsmodell &amp; Berechnungslogik</t>
  </si>
  <si>
    <t>📌  BEWERTUNGSSYSTEM — Hoher Wert = Hohes Risiko (gilt für alle Faktoren)</t>
  </si>
  <si>
    <t>Faktor</t>
  </si>
  <si>
    <t>Punktebereich</t>
  </si>
  <si>
    <t>Beschreibung</t>
  </si>
  <si>
    <t>Kritikalitätsrisiko
(Spalte G)</t>
  </si>
  <si>
    <t>8 - 10</t>
  </si>
  <si>
    <t>Produktion stoppt ohne dieses Bauteil → Höchstes Risiko (Laserdiode, Treiberplatine)</t>
  </si>
  <si>
    <t>4 - 7</t>
  </si>
  <si>
    <t>Produktion verlangsamt sich, kurzfristig Alternative verfügbar → Mittleres Risiko</t>
  </si>
  <si>
    <t>1 - 3</t>
  </si>
  <si>
    <t>Leicht beschaffbar, kein kritischer Einfluss auf Produktion → Geringes Risiko (Schrauben, Ringe)</t>
  </si>
  <si>
    <t>Lieferrisiko
(Spalte H)</t>
  </si>
  <si>
    <t>Entfernter/einziger Lieferant, häufige Verzögerungen → Höchstes Risiko</t>
  </si>
  <si>
    <t>Mittlere Entfernung, gelegentliche Verzögerungen → Mittleres Risiko</t>
  </si>
  <si>
    <t>Lokaler/zuverlässiger Lieferant, selten Verzögerungen → Geringes Risiko</t>
  </si>
  <si>
    <t>Haltbarkeitsrisiko
(Spalte I)</t>
  </si>
  <si>
    <t>Kurze Haltbarkeit → Zu viel Lagerbestand verdirbt → Höchstes Risiko (Wärmeleitpaste)</t>
  </si>
  <si>
    <t>Mittelfristige Haltbarkeit → Mittleres Risiko (Dichtungen, elektronische Komponenten)</t>
  </si>
  <si>
    <t>Lange/unbegrenzte Haltbarkeit → Beliebig viel lagern möglich → Geringes Risiko (Metallteile)</t>
  </si>
  <si>
    <t>⚙  KRITIKALITÄTSFAKTOR — BERECHNUNGSLOGIK</t>
  </si>
  <si>
    <t>Kritikalitätsfaktor  =  k1  ×  k2  ×  k3</t>
  </si>
  <si>
    <t>Mindestbestand  =  (Max. Durchlaufzeit  −  Ø Durchlaufzeit)  ×  Wochenbedarf  ×  Kritikalitätsfaktor</t>
  </si>
  <si>
    <t>⚙  WARUM KEIN GEWICHTETES MITTEL — WARUM MULTIPLIKATION?</t>
  </si>
  <si>
    <t>Gewichtetes Mittel
Funktionsweise</t>
  </si>
  <si>
    <t>Faktor = (k1×w1 + k2×w2 + k3×w3)</t>
  </si>
  <si>
    <t>Ein schlechter Faktor kann durch andere ausgeglichen werden. Z.B. unzuverlässiger Lieferant + lange Haltbarkeit = akzeptabler Durchschnitt.</t>
  </si>
  <si>
    <t>Problem bei
Hightech-Fertigung</t>
  </si>
  <si>
    <t>Das schwächste Glied
bestimmt das gesamte System</t>
  </si>
  <si>
    <t>Bei einem Unternehmen wie Jenoptik stoppt die Fabrik, wenn die Lasertreiberplatine fehlt. Lange Haltbarkeit kann dies nicht ausgleichen. Der Durchschnitt verbirgt dieses Risiko.</t>
  </si>
  <si>
    <t>Warum ist
Multiplikation besser?</t>
  </si>
  <si>
    <t>k1 × k2 × k3</t>
  </si>
  <si>
    <t>Zeigt ein Faktor hohes Risiko (1,5), steigt das Ergebnis deutlich. Kein Faktor dominiert die anderen, aber schlechte Faktoren ziehen das Ergebnis nicht nach unten — im Gegenteil.</t>
  </si>
  <si>
    <t>Konkretes Beispiel
DK-212</t>
  </si>
  <si>
    <t>k1=1,5 × k2=1,5 × k3=1,0
= 2,25</t>
  </si>
  <si>
    <t>Kritisches Bauteil + unzuverlässiger Lieferant = maximaler Puffer. Beim gewichteten Mittel wäre dieses Risiko abgemildert worden. Bei Multiplikation ist es nicht verbergbar.</t>
  </si>
  <si>
    <t>Standardreferenz</t>
  </si>
  <si>
    <t>Jenoptik – Industrielles Lasermodul | Mehrstufige Stückliste (BOM)</t>
  </si>
  <si>
    <t>Ebene</t>
  </si>
  <si>
    <t>Teilenummer</t>
  </si>
  <si>
    <t>Bauteilbezeichnung</t>
  </si>
  <si>
    <t>Übergeordnetes Bauteil</t>
  </si>
  <si>
    <t>Menge pro Einheit</t>
  </si>
  <si>
    <t>Einheit</t>
  </si>
  <si>
    <t>LM-001</t>
  </si>
  <si>
    <t>Lasermodul</t>
  </si>
  <si>
    <t>—</t>
  </si>
  <si>
    <t>Stück</t>
  </si>
  <si>
    <t>OB-101</t>
  </si>
  <si>
    <t>↳ Optische Einheit</t>
  </si>
  <si>
    <t>LD-201</t>
  </si>
  <si>
    <t>· Laserdiode (976 nm)</t>
  </si>
  <si>
    <t>ME-202</t>
  </si>
  <si>
    <t>· Asphärische Linse</t>
  </si>
  <si>
    <t>PR-203</t>
  </si>
  <si>
    <t>· Prismenblock</t>
  </si>
  <si>
    <t>OG-204</t>
  </si>
  <si>
    <t>· Optikgehäuse (Aluminium)</t>
  </si>
  <si>
    <t>AR-205</t>
  </si>
  <si>
    <t>· AR-Beschichtungsfilter</t>
  </si>
  <si>
    <t>FC-206</t>
  </si>
  <si>
    <t>· Faserausgangsköpf</t>
  </si>
  <si>
    <t>SB-102</t>
  </si>
  <si>
    <t>↳ Kühleinheit</t>
  </si>
  <si>
    <t>SP-207</t>
  </si>
  <si>
    <t>· Kühlplatte (Kupfer)</t>
  </si>
  <si>
    <t>TM-208</t>
  </si>
  <si>
    <t>· Wärmeleitpaste (5W/mK)</t>
  </si>
  <si>
    <t>gram</t>
  </si>
  <si>
    <t>FA-209</t>
  </si>
  <si>
    <t>· Axialventilator (24V, 0.3A)</t>
  </si>
  <si>
    <t>TP-210</t>
  </si>
  <si>
    <t>· Thermoelektrischer Kühler</t>
  </si>
  <si>
    <t>KA-211</t>
  </si>
  <si>
    <t>· Kühlkanalprofil</t>
  </si>
  <si>
    <t>EB-103</t>
  </si>
  <si>
    <t>↳ Elektronikeinheit</t>
  </si>
  <si>
    <t>DK-212</t>
  </si>
  <si>
    <t>· Lasertreiberplatine</t>
  </si>
  <si>
    <t>GK-213</t>
  </si>
  <si>
    <t>· Stromkabel (AWG 18)</t>
  </si>
  <si>
    <t>Meter</t>
  </si>
  <si>
    <t>SS-214</t>
  </si>
  <si>
    <t>· Temperatursensor (NTC)</t>
  </si>
  <si>
    <t>KO-215</t>
  </si>
  <si>
    <t>· Schutzkondensator</t>
  </si>
  <si>
    <t>FY-216</t>
  </si>
  <si>
    <t>· Ferritring</t>
  </si>
  <si>
    <t>BK-217</t>
  </si>
  <si>
    <t>· Leiterplattenverbinder</t>
  </si>
  <si>
    <t>MM-104</t>
  </si>
  <si>
    <t>↳ Mechanische Montage</t>
  </si>
  <si>
    <t>VM-218</t>
  </si>
  <si>
    <t>· Schraube M3×8 (Edelstahl)</t>
  </si>
  <si>
    <t>VM-219</t>
  </si>
  <si>
    <t>· Schraube M4×12 (Edelstahl)</t>
  </si>
  <si>
    <t>AK-220</t>
  </si>
  <si>
    <t>· Aluminiumgehäuse (6061-T6)</t>
  </si>
  <si>
    <t>CT-221</t>
  </si>
  <si>
    <t>· Silikondichtung (IP67)</t>
  </si>
  <si>
    <t>YH-222</t>
  </si>
  <si>
    <t>· Federring M3</t>
  </si>
  <si>
    <t>BR-223</t>
  </si>
  <si>
    <t>· Halterung (L-Form)</t>
  </si>
  <si>
    <t>DP-224</t>
  </si>
  <si>
    <t>· Schwingungsdämpfer</t>
  </si>
  <si>
    <t>Jenoptik – Lasermodul | Lagerbestand &amp; Kritikalitätsanalyse</t>
  </si>
  <si>
    <t>Teile-
nummer</t>
  </si>
  <si>
    <t>Bauteil-
bezeichnung</t>
  </si>
  <si>
    <t>Aktueller
Bestand</t>
  </si>
  <si>
    <t>Ø Durch-
laufzeit (Wo.)</t>
  </si>
  <si>
    <t>Max. Durch-
laufzeit (Wo.)</t>
  </si>
  <si>
    <t>Wochen-
bedarf</t>
  </si>
  <si>
    <t>Kritikalitäts-
risiko (1-10)</t>
  </si>
  <si>
    <t>Liefer-
risiko (1-10)</t>
  </si>
  <si>
    <t>Haltbarkeits-
risiko (1-10)</t>
  </si>
  <si>
    <t>Kritikalitäts-
faktor</t>
  </si>
  <si>
    <t>Mindest-
bestand</t>
  </si>
  <si>
    <t>Status</t>
  </si>
  <si>
    <t>Laserdiode (976 nm)</t>
  </si>
  <si>
    <t xml:space="preserve"> </t>
  </si>
  <si>
    <t>Asphärische Linse</t>
  </si>
  <si>
    <t>Prismenblock</t>
  </si>
  <si>
    <t>Optikgehäuse (Aluminium)</t>
  </si>
  <si>
    <t>AR-Beschichtungsfilter</t>
  </si>
  <si>
    <t>Faserausgangsköpf</t>
  </si>
  <si>
    <t>Kühlplatte (Kupfer)</t>
  </si>
  <si>
    <t>Wärmeleitpaste (5W/mK)</t>
  </si>
  <si>
    <t>Axialventilator (24V, 0.3A)</t>
  </si>
  <si>
    <t>Thermoelektrischer Kühler</t>
  </si>
  <si>
    <t>Kühlkanalprofil</t>
  </si>
  <si>
    <t>Lasertreiberplatine</t>
  </si>
  <si>
    <t>Stromkabel (AWG 18)</t>
  </si>
  <si>
    <t>Temperatursensor (NTC)</t>
  </si>
  <si>
    <t>Schutzkondensator</t>
  </si>
  <si>
    <t>Ferritring</t>
  </si>
  <si>
    <t>Leiterplattenverbinder</t>
  </si>
  <si>
    <t>Schraube M3×8 (Edelstahl)</t>
  </si>
  <si>
    <t>Schraube M4×12 (Edelstahl)</t>
  </si>
  <si>
    <t>Aluminiumgehäuse (6061-T6)</t>
  </si>
  <si>
    <t>Silikondichtung (IP67)</t>
  </si>
  <si>
    <t>Federring M3</t>
  </si>
  <si>
    <t>Halterung (L-Form)</t>
  </si>
  <si>
    <t>Schwingungsdämpfer</t>
  </si>
  <si>
    <t>Jenoptik – Lasermodul | Produktionsplan (MPS)</t>
  </si>
  <si>
    <t>Woche</t>
  </si>
  <si>
    <t>Bedarfsmenge (Stück)</t>
  </si>
  <si>
    <t>Bemerkung</t>
  </si>
  <si>
    <t>Normalbetrieb</t>
  </si>
  <si>
    <t>Erhöhter Bedarf – Q1-Abschluss</t>
  </si>
  <si>
    <t>Sonderauftrag – Verteidigungssektor</t>
  </si>
  <si>
    <t>Wartungswoche</t>
  </si>
  <si>
    <t>Erhöhter Bedarf – Q2-Abschluss</t>
  </si>
  <si>
    <t>Jahresende – Bestandsauffüllung</t>
  </si>
  <si>
    <t>Jenoptik – Lasermodul | Kapazitätsplanung &amp; Takt-/Zykluszeit-Analyse</t>
  </si>
  <si>
    <t>Tägliche Arbeitszeit</t>
  </si>
  <si>
    <t>Standardschicht</t>
  </si>
  <si>
    <t>Arbeitstage pro Woche</t>
  </si>
  <si>
    <t>Montag – Freitag</t>
  </si>
  <si>
    <t>Normale Wochenkapazität</t>
  </si>
  <si>
    <t>8 Std. × 5 Tage</t>
  </si>
  <si>
    <t>Kapazität Wartungswoche</t>
  </si>
  <si>
    <t>Nur 2 Produktionstage — 3 Wartungstage</t>
  </si>
  <si>
    <t>Zykluszeit (1 Lasermodul)</t>
  </si>
  <si>
    <t>Montage + Test + Qualitätskontrolle</t>
  </si>
  <si>
    <t>Effizienzfaktor</t>
  </si>
  <si>
    <t>Maschinenstillstand, Rüstzeiten usw.</t>
  </si>
  <si>
    <t>Effektive Kapazität</t>
  </si>
  <si>
    <t>40 Std. × 0,85 (Wartungswoche: 13,6 Std.)</t>
  </si>
  <si>
    <t>Taktzeit</t>
  </si>
  <si>
    <t>Effektive Kapazität (Std.) ÷ Bedarfsmenge (Stück)</t>
  </si>
  <si>
    <t>Maximale Zeit pro Einheit zur Erfüllung der Kundennachfrage</t>
  </si>
  <si>
    <t>Erforderliche Kapazität</t>
  </si>
  <si>
    <t>Bedarfsmenge (Stück) × Zykluszeit (Std./Stück)</t>
  </si>
  <si>
    <t>Gesamtproduktionszeit zur Deckung des wöchentlichen Bedarfs</t>
  </si>
  <si>
    <t>Kapazitätsdifferenz</t>
  </si>
  <si>
    <t>Effektive Kapazität − Erforderliche Kapazität</t>
  </si>
  <si>
    <t>Positiv → Kapazitätsüberschuss  |  Negativ → Engpass!</t>
  </si>
  <si>
    <t>Kapazitätsauslastung</t>
  </si>
  <si>
    <t>Erforderliche Kapazität ÷ Effektive Kapazität × 100</t>
  </si>
  <si>
    <t>Bedarf
(Stück)</t>
  </si>
  <si>
    <t>Effektive
Kapazität
(Std.)</t>
  </si>
  <si>
    <t>Taktzeit
(Std./Stück)</t>
  </si>
  <si>
    <t>Zykluszeit
(Std./Stück)</t>
  </si>
  <si>
    <t>Erf.
Kapazität
(Std.)</t>
  </si>
  <si>
    <t>Kapazitäts-
differenz (Std.)</t>
  </si>
  <si>
    <t>Kapazitäts-
auslastung (%)</t>
  </si>
  <si>
    <t>Taktzeit/Zykluszeit
Status</t>
  </si>
  <si>
    <t>Sonderauftrag – Verteidigung</t>
  </si>
  <si>
    <t>Kapazitätsauslastung &lt; 70%</t>
  </si>
  <si>
    <t>Ungenutzte Kapazität — Kostenoptimierung erforderlich</t>
  </si>
  <si>
    <t>Kapazitätsauslastung 70–85%</t>
  </si>
  <si>
    <t>Idealbereich — weder Engpass noch Verschwendung</t>
  </si>
  <si>
    <t>Kapazitätsauslastung 85–100%</t>
  </si>
  <si>
    <t>Achtung — Puffer nimmt ab, Engpassrisiko bei unerwartetem Anstieg</t>
  </si>
  <si>
    <t>Kapazitätsauslastung &gt; 100%</t>
  </si>
  <si>
    <t>Engpass! Zykluszeit &gt; Taktzeit — Überstunden oder Kapazitätserweiterung nötig</t>
  </si>
  <si>
    <t>Geplante reduzierte Kapazität — nur Notproduktion, 3 Wartungstage</t>
  </si>
  <si>
    <t>🎨 FARBKODIERUNG &amp; GESAMTBEWERTUNG</t>
  </si>
  <si>
    <t>🟡  Gelb</t>
  </si>
  <si>
    <t>🟢  Grün</t>
  </si>
  <si>
    <t>🔵  Blau</t>
  </si>
  <si>
    <t>🔴  Rot</t>
  </si>
  <si>
    <t>⚪  Grau</t>
  </si>
  <si>
    <t>📋  ANNAHMEN</t>
  </si>
  <si>
    <t>⚙  FORMELN</t>
  </si>
  <si>
    <t>📊  WÖCHENTLICHE KAPAZITÄTSANALYSE</t>
  </si>
  <si>
    <t>📌  WICHTIGER HINWEIS — Taktzeit vs Zykluszeit:  
Zykluszeit &lt; Taktzeit → Nachfrage wird erfüllt ✔ | Zykluszeit &gt; Taktzeit → Engpass ⚠ 
Idealbereich: 70–85%. Unter 70% = ungenutzte Kapazität. Über 85% = kein Puffer, Risiko.</t>
  </si>
  <si>
    <t>%70–85 Idealbereich | %85–100 Achtung | &gt;%100 → Sofortmaßnahmen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</si>
</sst>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0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A1A1A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2E75B6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E79"/>
      <name val="Arial"/>
    </font>
    <font>
      <sz val="10"/>
      <color rgb="FF595959"/>
      <name val="Arial"/>
    </font>
    <font>
      <b/>
      <sz val="10"/>
      <color rgb="FF2E75B6"/>
      <name val="Arial"/>
    </font>
    <font>
      <b/>
      <sz val="10"/>
      <color rgb="FFCC0000"/>
      <name val="Arial"/>
    </font>
    <font>
      <i/>
      <sz val="10"/>
      <color rgb="FF7F7F7F"/>
      <name val="Arial"/>
    </font>
    <font>
      <b/>
      <sz val="10"/>
      <color rgb="FF375623"/>
      <name val="Arial"/>
    </font>
    <font>
      <b/>
      <sz val="10"/>
      <name val="Arial"/>
    </font>
    <font>
      <i/>
      <sz val="10"/>
      <color rgb="FF595959"/>
      <name val="Arial"/>
    </font>
    <font>
      <b/>
      <i/>
      <sz val="10"/>
      <name val="Arial"/>
    </font>
    <font>
      <i/>
      <sz val="10"/>
      <color rgb="FF1F4E7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CCCC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5" fontId="9" fillId="10" borderId="1" xfId="0" applyNumberFormat="1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12" fillId="11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2" fontId="17" fillId="5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2" fontId="17" fillId="6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2" fontId="17" fillId="10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164" fontId="17" fillId="11" borderId="1" xfId="0" applyNumberFormat="1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2" fontId="17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164" fontId="17" fillId="13" borderId="1" xfId="0" applyNumberFormat="1" applyFont="1" applyFill="1" applyBorder="1" applyAlignment="1">
      <alignment horizontal="center" vertical="center" wrapText="1"/>
    </xf>
    <xf numFmtId="2" fontId="17" fillId="13" borderId="1" xfId="0" applyNumberFormat="1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center" vertical="center" wrapText="1"/>
    </xf>
    <xf numFmtId="164" fontId="15" fillId="13" borderId="1" xfId="0" applyNumberFormat="1" applyFont="1" applyFill="1" applyBorder="1" applyAlignment="1">
      <alignment horizontal="center" vertical="center" wrapText="1"/>
    </xf>
    <xf numFmtId="165" fontId="9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 wrapText="1"/>
    </xf>
    <xf numFmtId="165" fontId="13" fillId="11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1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9" fontId="10" fillId="9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G29" sqref="G29"/>
    </sheetView>
  </sheetViews>
  <sheetFormatPr defaultRowHeight="14.4" x14ac:dyDescent="0.3"/>
  <cols>
    <col min="1" max="1" width="10" customWidth="1"/>
    <col min="2" max="2" width="16" customWidth="1"/>
    <col min="3" max="3" width="32" customWidth="1"/>
    <col min="4" max="4" width="12" customWidth="1"/>
    <col min="5" max="5" width="22" customWidth="1"/>
    <col min="6" max="6" width="10" customWidth="1"/>
  </cols>
  <sheetData>
    <row r="1" spans="1:6" ht="31.95" customHeight="1" x14ac:dyDescent="0.3">
      <c r="A1" s="81" t="s">
        <v>37</v>
      </c>
      <c r="B1" s="82"/>
      <c r="C1" s="82"/>
      <c r="D1" s="82"/>
      <c r="E1" s="82"/>
      <c r="F1" s="82"/>
    </row>
    <row r="2" spans="1:6" ht="22.05" customHeight="1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</row>
    <row r="3" spans="1:6" ht="18" customHeight="1" x14ac:dyDescent="0.3">
      <c r="A3" s="1">
        <v>0</v>
      </c>
      <c r="B3" s="1" t="s">
        <v>44</v>
      </c>
      <c r="C3" s="2" t="s">
        <v>45</v>
      </c>
      <c r="D3" s="1" t="s">
        <v>46</v>
      </c>
      <c r="E3" s="1">
        <v>1</v>
      </c>
      <c r="F3" s="1" t="s">
        <v>47</v>
      </c>
    </row>
    <row r="4" spans="1:6" ht="18" customHeight="1" x14ac:dyDescent="0.3">
      <c r="A4" s="3">
        <v>1</v>
      </c>
      <c r="B4" s="3" t="s">
        <v>48</v>
      </c>
      <c r="C4" s="4" t="s">
        <v>49</v>
      </c>
      <c r="D4" s="3" t="s">
        <v>44</v>
      </c>
      <c r="E4" s="3">
        <v>1</v>
      </c>
      <c r="F4" s="3" t="s">
        <v>47</v>
      </c>
    </row>
    <row r="5" spans="1:6" ht="18" customHeight="1" x14ac:dyDescent="0.3">
      <c r="A5" s="5">
        <v>2</v>
      </c>
      <c r="B5" s="5" t="s">
        <v>50</v>
      </c>
      <c r="C5" s="6" t="s">
        <v>51</v>
      </c>
      <c r="D5" s="5" t="s">
        <v>48</v>
      </c>
      <c r="E5" s="41">
        <v>4</v>
      </c>
      <c r="F5" s="5" t="s">
        <v>47</v>
      </c>
    </row>
    <row r="6" spans="1:6" ht="18" customHeight="1" x14ac:dyDescent="0.3">
      <c r="A6" s="7">
        <v>2</v>
      </c>
      <c r="B6" s="7" t="s">
        <v>52</v>
      </c>
      <c r="C6" s="8" t="s">
        <v>53</v>
      </c>
      <c r="D6" s="7" t="s">
        <v>48</v>
      </c>
      <c r="E6" s="41">
        <v>6</v>
      </c>
      <c r="F6" s="7" t="s">
        <v>47</v>
      </c>
    </row>
    <row r="7" spans="1:6" ht="18" customHeight="1" x14ac:dyDescent="0.3">
      <c r="A7" s="5">
        <v>2</v>
      </c>
      <c r="B7" s="5" t="s">
        <v>54</v>
      </c>
      <c r="C7" s="6" t="s">
        <v>55</v>
      </c>
      <c r="D7" s="5" t="s">
        <v>48</v>
      </c>
      <c r="E7" s="41">
        <v>3</v>
      </c>
      <c r="F7" s="5" t="s">
        <v>47</v>
      </c>
    </row>
    <row r="8" spans="1:6" ht="18" customHeight="1" x14ac:dyDescent="0.3">
      <c r="A8" s="7">
        <v>2</v>
      </c>
      <c r="B8" s="7" t="s">
        <v>56</v>
      </c>
      <c r="C8" s="8" t="s">
        <v>57</v>
      </c>
      <c r="D8" s="7" t="s">
        <v>48</v>
      </c>
      <c r="E8" s="41">
        <v>1</v>
      </c>
      <c r="F8" s="7" t="s">
        <v>47</v>
      </c>
    </row>
    <row r="9" spans="1:6" ht="18" customHeight="1" x14ac:dyDescent="0.3">
      <c r="A9" s="5">
        <v>2</v>
      </c>
      <c r="B9" s="5" t="s">
        <v>58</v>
      </c>
      <c r="C9" s="6" t="s">
        <v>59</v>
      </c>
      <c r="D9" s="5" t="s">
        <v>48</v>
      </c>
      <c r="E9" s="41">
        <v>6</v>
      </c>
      <c r="F9" s="5" t="s">
        <v>47</v>
      </c>
    </row>
    <row r="10" spans="1:6" ht="18" customHeight="1" x14ac:dyDescent="0.3">
      <c r="A10" s="7">
        <v>2</v>
      </c>
      <c r="B10" s="7" t="s">
        <v>60</v>
      </c>
      <c r="C10" s="8" t="s">
        <v>61</v>
      </c>
      <c r="D10" s="7" t="s">
        <v>48</v>
      </c>
      <c r="E10" s="41">
        <v>2</v>
      </c>
      <c r="F10" s="7" t="s">
        <v>47</v>
      </c>
    </row>
    <row r="11" spans="1:6" ht="18" customHeight="1" x14ac:dyDescent="0.3">
      <c r="A11" s="3">
        <v>1</v>
      </c>
      <c r="B11" s="3" t="s">
        <v>62</v>
      </c>
      <c r="C11" s="4" t="s">
        <v>63</v>
      </c>
      <c r="D11" s="3" t="s">
        <v>44</v>
      </c>
      <c r="E11" s="3">
        <v>1</v>
      </c>
      <c r="F11" s="3" t="s">
        <v>47</v>
      </c>
    </row>
    <row r="12" spans="1:6" ht="18" customHeight="1" x14ac:dyDescent="0.3">
      <c r="A12" s="7">
        <v>2</v>
      </c>
      <c r="B12" s="7" t="s">
        <v>64</v>
      </c>
      <c r="C12" s="8" t="s">
        <v>65</v>
      </c>
      <c r="D12" s="7" t="s">
        <v>62</v>
      </c>
      <c r="E12" s="41">
        <v>2</v>
      </c>
      <c r="F12" s="7" t="s">
        <v>47</v>
      </c>
    </row>
    <row r="13" spans="1:6" ht="18" customHeight="1" x14ac:dyDescent="0.3">
      <c r="A13" s="5">
        <v>2</v>
      </c>
      <c r="B13" s="5" t="s">
        <v>66</v>
      </c>
      <c r="C13" s="6" t="s">
        <v>67</v>
      </c>
      <c r="D13" s="5" t="s">
        <v>62</v>
      </c>
      <c r="E13" s="41">
        <v>3</v>
      </c>
      <c r="F13" s="5" t="s">
        <v>68</v>
      </c>
    </row>
    <row r="14" spans="1:6" ht="18" customHeight="1" x14ac:dyDescent="0.3">
      <c r="A14" s="7">
        <v>2</v>
      </c>
      <c r="B14" s="7" t="s">
        <v>69</v>
      </c>
      <c r="C14" s="8" t="s">
        <v>70</v>
      </c>
      <c r="D14" s="7" t="s">
        <v>62</v>
      </c>
      <c r="E14" s="41">
        <v>4</v>
      </c>
      <c r="F14" s="7" t="s">
        <v>47</v>
      </c>
    </row>
    <row r="15" spans="1:6" ht="18" customHeight="1" x14ac:dyDescent="0.3">
      <c r="A15" s="5">
        <v>2</v>
      </c>
      <c r="B15" s="5" t="s">
        <v>71</v>
      </c>
      <c r="C15" s="6" t="s">
        <v>72</v>
      </c>
      <c r="D15" s="5" t="s">
        <v>62</v>
      </c>
      <c r="E15" s="41">
        <v>2</v>
      </c>
      <c r="F15" s="5" t="s">
        <v>47</v>
      </c>
    </row>
    <row r="16" spans="1:6" ht="18" customHeight="1" x14ac:dyDescent="0.3">
      <c r="A16" s="7">
        <v>2</v>
      </c>
      <c r="B16" s="7" t="s">
        <v>73</v>
      </c>
      <c r="C16" s="8" t="s">
        <v>74</v>
      </c>
      <c r="D16" s="7" t="s">
        <v>62</v>
      </c>
      <c r="E16" s="41">
        <v>1</v>
      </c>
      <c r="F16" s="7" t="s">
        <v>47</v>
      </c>
    </row>
    <row r="17" spans="1:6" ht="18" customHeight="1" x14ac:dyDescent="0.3">
      <c r="A17" s="3">
        <v>1</v>
      </c>
      <c r="B17" s="3" t="s">
        <v>75</v>
      </c>
      <c r="C17" s="4" t="s">
        <v>76</v>
      </c>
      <c r="D17" s="3" t="s">
        <v>44</v>
      </c>
      <c r="E17" s="3">
        <v>1</v>
      </c>
      <c r="F17" s="3" t="s">
        <v>47</v>
      </c>
    </row>
    <row r="18" spans="1:6" ht="18" customHeight="1" x14ac:dyDescent="0.3">
      <c r="A18" s="7">
        <v>2</v>
      </c>
      <c r="B18" s="7" t="s">
        <v>77</v>
      </c>
      <c r="C18" s="8" t="s">
        <v>78</v>
      </c>
      <c r="D18" s="7" t="s">
        <v>75</v>
      </c>
      <c r="E18" s="41">
        <v>1</v>
      </c>
      <c r="F18" s="7" t="s">
        <v>47</v>
      </c>
    </row>
    <row r="19" spans="1:6" ht="18" customHeight="1" x14ac:dyDescent="0.3">
      <c r="A19" s="5">
        <v>2</v>
      </c>
      <c r="B19" s="5" t="s">
        <v>79</v>
      </c>
      <c r="C19" s="6" t="s">
        <v>80</v>
      </c>
      <c r="D19" s="5" t="s">
        <v>75</v>
      </c>
      <c r="E19" s="41">
        <v>4</v>
      </c>
      <c r="F19" s="5" t="s">
        <v>81</v>
      </c>
    </row>
    <row r="20" spans="1:6" ht="18" customHeight="1" x14ac:dyDescent="0.3">
      <c r="A20" s="7">
        <v>2</v>
      </c>
      <c r="B20" s="7" t="s">
        <v>82</v>
      </c>
      <c r="C20" s="8" t="s">
        <v>83</v>
      </c>
      <c r="D20" s="7" t="s">
        <v>75</v>
      </c>
      <c r="E20" s="41">
        <v>3</v>
      </c>
      <c r="F20" s="7" t="s">
        <v>47</v>
      </c>
    </row>
    <row r="21" spans="1:6" ht="18" customHeight="1" x14ac:dyDescent="0.3">
      <c r="A21" s="5">
        <v>2</v>
      </c>
      <c r="B21" s="5" t="s">
        <v>84</v>
      </c>
      <c r="C21" s="6" t="s">
        <v>85</v>
      </c>
      <c r="D21" s="5" t="s">
        <v>75</v>
      </c>
      <c r="E21" s="41">
        <v>12</v>
      </c>
      <c r="F21" s="5" t="s">
        <v>47</v>
      </c>
    </row>
    <row r="22" spans="1:6" ht="18" customHeight="1" x14ac:dyDescent="0.3">
      <c r="A22" s="7">
        <v>2</v>
      </c>
      <c r="B22" s="7" t="s">
        <v>86</v>
      </c>
      <c r="C22" s="8" t="s">
        <v>87</v>
      </c>
      <c r="D22" s="7" t="s">
        <v>75</v>
      </c>
      <c r="E22" s="41">
        <v>8</v>
      </c>
      <c r="F22" s="7" t="s">
        <v>47</v>
      </c>
    </row>
    <row r="23" spans="1:6" ht="18" customHeight="1" x14ac:dyDescent="0.3">
      <c r="A23" s="5">
        <v>2</v>
      </c>
      <c r="B23" s="5" t="s">
        <v>88</v>
      </c>
      <c r="C23" s="6" t="s">
        <v>89</v>
      </c>
      <c r="D23" s="5" t="s">
        <v>75</v>
      </c>
      <c r="E23" s="41">
        <v>6</v>
      </c>
      <c r="F23" s="5" t="s">
        <v>47</v>
      </c>
    </row>
    <row r="24" spans="1:6" ht="18" customHeight="1" x14ac:dyDescent="0.3">
      <c r="A24" s="3">
        <v>1</v>
      </c>
      <c r="B24" s="3" t="s">
        <v>90</v>
      </c>
      <c r="C24" s="4" t="s">
        <v>91</v>
      </c>
      <c r="D24" s="3" t="s">
        <v>44</v>
      </c>
      <c r="E24" s="3">
        <v>1</v>
      </c>
      <c r="F24" s="3" t="s">
        <v>47</v>
      </c>
    </row>
    <row r="25" spans="1:6" ht="18" customHeight="1" x14ac:dyDescent="0.3">
      <c r="A25" s="5">
        <v>2</v>
      </c>
      <c r="B25" s="5" t="s">
        <v>92</v>
      </c>
      <c r="C25" s="6" t="s">
        <v>93</v>
      </c>
      <c r="D25" s="5" t="s">
        <v>90</v>
      </c>
      <c r="E25" s="41">
        <v>24</v>
      </c>
      <c r="F25" s="5" t="s">
        <v>47</v>
      </c>
    </row>
    <row r="26" spans="1:6" ht="18" customHeight="1" x14ac:dyDescent="0.3">
      <c r="A26" s="7">
        <v>2</v>
      </c>
      <c r="B26" s="7" t="s">
        <v>94</v>
      </c>
      <c r="C26" s="8" t="s">
        <v>95</v>
      </c>
      <c r="D26" s="7" t="s">
        <v>90</v>
      </c>
      <c r="E26" s="41">
        <v>16</v>
      </c>
      <c r="F26" s="7" t="s">
        <v>47</v>
      </c>
    </row>
    <row r="27" spans="1:6" ht="18" customHeight="1" x14ac:dyDescent="0.3">
      <c r="A27" s="5">
        <v>2</v>
      </c>
      <c r="B27" s="5" t="s">
        <v>96</v>
      </c>
      <c r="C27" s="6" t="s">
        <v>97</v>
      </c>
      <c r="D27" s="5" t="s">
        <v>90</v>
      </c>
      <c r="E27" s="41">
        <v>1</v>
      </c>
      <c r="F27" s="5" t="s">
        <v>47</v>
      </c>
    </row>
    <row r="28" spans="1:6" ht="18" customHeight="1" x14ac:dyDescent="0.3">
      <c r="A28" s="7">
        <v>2</v>
      </c>
      <c r="B28" s="7" t="s">
        <v>98</v>
      </c>
      <c r="C28" s="8" t="s">
        <v>99</v>
      </c>
      <c r="D28" s="7" t="s">
        <v>90</v>
      </c>
      <c r="E28" s="41">
        <v>6</v>
      </c>
      <c r="F28" s="7" t="s">
        <v>47</v>
      </c>
    </row>
    <row r="29" spans="1:6" ht="18" customHeight="1" x14ac:dyDescent="0.3">
      <c r="A29" s="5">
        <v>2</v>
      </c>
      <c r="B29" s="5" t="s">
        <v>100</v>
      </c>
      <c r="C29" s="6" t="s">
        <v>101</v>
      </c>
      <c r="D29" s="5" t="s">
        <v>90</v>
      </c>
      <c r="E29" s="41">
        <v>24</v>
      </c>
      <c r="F29" s="5" t="s">
        <v>47</v>
      </c>
    </row>
    <row r="30" spans="1:6" ht="18" customHeight="1" x14ac:dyDescent="0.3">
      <c r="A30" s="7">
        <v>2</v>
      </c>
      <c r="B30" s="7" t="s">
        <v>102</v>
      </c>
      <c r="C30" s="8" t="s">
        <v>103</v>
      </c>
      <c r="D30" s="7" t="s">
        <v>90</v>
      </c>
      <c r="E30" s="41">
        <v>4</v>
      </c>
      <c r="F30" s="7" t="s">
        <v>47</v>
      </c>
    </row>
    <row r="31" spans="1:6" ht="18" customHeight="1" x14ac:dyDescent="0.3">
      <c r="A31" s="5">
        <v>2</v>
      </c>
      <c r="B31" s="5" t="s">
        <v>104</v>
      </c>
      <c r="C31" s="6" t="s">
        <v>105</v>
      </c>
      <c r="D31" s="5" t="s">
        <v>90</v>
      </c>
      <c r="E31" s="41">
        <v>8</v>
      </c>
      <c r="F31" s="5" t="s">
        <v>47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A3" sqref="A3:XFD29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5" width="14" customWidth="1"/>
    <col min="6" max="7" width="12" customWidth="1"/>
    <col min="8" max="8" width="16" customWidth="1"/>
    <col min="9" max="10" width="14" customWidth="1"/>
    <col min="11" max="11" width="16" customWidth="1"/>
    <col min="12" max="12" width="14" customWidth="1"/>
    <col min="13" max="13" width="20.5546875" bestFit="1" customWidth="1"/>
  </cols>
  <sheetData>
    <row r="1" spans="1:13" ht="31.95" customHeight="1" x14ac:dyDescent="0.3">
      <c r="A1" s="81" t="s">
        <v>106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3" ht="40.049999999999997" customHeight="1" x14ac:dyDescent="0.3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</row>
    <row r="3" spans="1:13" ht="26.4" x14ac:dyDescent="0.3">
      <c r="A3" s="9" t="s">
        <v>50</v>
      </c>
      <c r="B3" s="54" t="s">
        <v>119</v>
      </c>
      <c r="C3" s="41">
        <v>24</v>
      </c>
      <c r="D3" s="41">
        <v>6</v>
      </c>
      <c r="E3" s="41">
        <v>8</v>
      </c>
      <c r="F3" s="41">
        <v>4</v>
      </c>
      <c r="G3" s="41">
        <v>10</v>
      </c>
      <c r="H3" s="41">
        <v>7</v>
      </c>
      <c r="I3" s="41">
        <v>1</v>
      </c>
      <c r="J3" s="42">
        <f t="shared" ref="J3:J26" si="0">ROUND(IF(G3&gt;=8,1.5,IF(G3&gt;=4,1,0.7))*IF(H3&gt;=8,1.5,IF(H3&gt;=4,1,0.7))*IF(I3&gt;=8,1.5,IF(I3&gt;=4,1,0.7)),2)</f>
        <v>1.05</v>
      </c>
      <c r="K3" s="43">
        <f t="shared" ref="K3:K26" si="1">CEILING((E3-D3)*F3*J3, 1)</f>
        <v>9</v>
      </c>
      <c r="L3" s="55" t="str">
        <f>IF(C3&lt;K3,"⚠ Kritischer Bestand","✔ Ausreichend")</f>
        <v>✔ Ausreichend</v>
      </c>
      <c r="M3" t="s">
        <v>120</v>
      </c>
    </row>
    <row r="4" spans="1:13" ht="26.4" x14ac:dyDescent="0.3">
      <c r="A4" s="10" t="s">
        <v>52</v>
      </c>
      <c r="B4" s="56" t="s">
        <v>121</v>
      </c>
      <c r="C4" s="41">
        <v>36</v>
      </c>
      <c r="D4" s="41">
        <v>4</v>
      </c>
      <c r="E4" s="41">
        <v>6</v>
      </c>
      <c r="F4" s="41">
        <v>6</v>
      </c>
      <c r="G4" s="41">
        <v>9</v>
      </c>
      <c r="H4" s="41">
        <v>5</v>
      </c>
      <c r="I4" s="41">
        <v>1</v>
      </c>
      <c r="J4" s="45">
        <f t="shared" si="0"/>
        <v>1.05</v>
      </c>
      <c r="K4" s="43">
        <f t="shared" si="1"/>
        <v>13</v>
      </c>
      <c r="L4" s="55" t="str">
        <f t="shared" ref="L4:L26" si="2">IF(C4&lt;K4,"⚠ Kritischer Bestand","✔ Ausreichend")</f>
        <v>✔ Ausreichend</v>
      </c>
    </row>
    <row r="5" spans="1:13" ht="26.4" x14ac:dyDescent="0.3">
      <c r="A5" s="9" t="s">
        <v>54</v>
      </c>
      <c r="B5" s="54" t="s">
        <v>122</v>
      </c>
      <c r="C5" s="41">
        <v>18</v>
      </c>
      <c r="D5" s="41">
        <v>5</v>
      </c>
      <c r="E5" s="41">
        <v>7</v>
      </c>
      <c r="F5" s="41">
        <v>3</v>
      </c>
      <c r="G5" s="41">
        <v>8</v>
      </c>
      <c r="H5" s="41">
        <v>6</v>
      </c>
      <c r="I5" s="41">
        <v>1</v>
      </c>
      <c r="J5" s="42">
        <f t="shared" si="0"/>
        <v>1.05</v>
      </c>
      <c r="K5" s="43">
        <f t="shared" si="1"/>
        <v>7</v>
      </c>
      <c r="L5" s="55" t="str">
        <f t="shared" si="2"/>
        <v>✔ Ausreichend</v>
      </c>
    </row>
    <row r="6" spans="1:13" ht="26.4" x14ac:dyDescent="0.3">
      <c r="A6" s="10" t="s">
        <v>56</v>
      </c>
      <c r="B6" s="56" t="s">
        <v>123</v>
      </c>
      <c r="C6" s="41">
        <v>10</v>
      </c>
      <c r="D6" s="41">
        <v>3</v>
      </c>
      <c r="E6" s="41">
        <v>5</v>
      </c>
      <c r="F6" s="41">
        <v>1</v>
      </c>
      <c r="G6" s="41">
        <v>6</v>
      </c>
      <c r="H6" s="41">
        <v>3</v>
      </c>
      <c r="I6" s="41">
        <v>1</v>
      </c>
      <c r="J6" s="45">
        <f t="shared" si="0"/>
        <v>0.49</v>
      </c>
      <c r="K6" s="43">
        <f t="shared" si="1"/>
        <v>1</v>
      </c>
      <c r="L6" s="55" t="str">
        <f t="shared" si="2"/>
        <v>✔ Ausreichend</v>
      </c>
    </row>
    <row r="7" spans="1:13" ht="26.4" x14ac:dyDescent="0.3">
      <c r="A7" s="9" t="s">
        <v>58</v>
      </c>
      <c r="B7" s="54" t="s">
        <v>124</v>
      </c>
      <c r="C7" s="41">
        <v>42</v>
      </c>
      <c r="D7" s="41">
        <v>4</v>
      </c>
      <c r="E7" s="41">
        <v>6</v>
      </c>
      <c r="F7" s="41">
        <v>6</v>
      </c>
      <c r="G7" s="41">
        <v>7</v>
      </c>
      <c r="H7" s="41">
        <v>5</v>
      </c>
      <c r="I7" s="41">
        <v>2</v>
      </c>
      <c r="J7" s="42">
        <f t="shared" si="0"/>
        <v>0.7</v>
      </c>
      <c r="K7" s="43">
        <f t="shared" si="1"/>
        <v>9</v>
      </c>
      <c r="L7" s="55" t="str">
        <f t="shared" si="2"/>
        <v>✔ Ausreichend</v>
      </c>
    </row>
    <row r="8" spans="1:13" ht="26.4" x14ac:dyDescent="0.3">
      <c r="A8" s="10" t="s">
        <v>60</v>
      </c>
      <c r="B8" s="56" t="s">
        <v>125</v>
      </c>
      <c r="C8" s="41">
        <v>14</v>
      </c>
      <c r="D8" s="41">
        <v>6</v>
      </c>
      <c r="E8" s="41">
        <v>9</v>
      </c>
      <c r="F8" s="41">
        <v>2</v>
      </c>
      <c r="G8" s="41">
        <v>9</v>
      </c>
      <c r="H8" s="41">
        <v>8</v>
      </c>
      <c r="I8" s="41">
        <v>1</v>
      </c>
      <c r="J8" s="45">
        <f t="shared" si="0"/>
        <v>1.58</v>
      </c>
      <c r="K8" s="43">
        <f t="shared" si="1"/>
        <v>10</v>
      </c>
      <c r="L8" s="55" t="str">
        <f t="shared" si="2"/>
        <v>✔ Ausreichend</v>
      </c>
    </row>
    <row r="9" spans="1:13" ht="26.4" x14ac:dyDescent="0.3">
      <c r="A9" s="9" t="s">
        <v>64</v>
      </c>
      <c r="B9" s="54" t="s">
        <v>126</v>
      </c>
      <c r="C9" s="41">
        <v>20</v>
      </c>
      <c r="D9" s="41">
        <v>2</v>
      </c>
      <c r="E9" s="41">
        <v>4</v>
      </c>
      <c r="F9" s="41">
        <v>2</v>
      </c>
      <c r="G9" s="41">
        <v>6</v>
      </c>
      <c r="H9" s="41">
        <v>2</v>
      </c>
      <c r="I9" s="41">
        <v>1</v>
      </c>
      <c r="J9" s="42">
        <f t="shared" si="0"/>
        <v>0.49</v>
      </c>
      <c r="K9" s="43">
        <f t="shared" si="1"/>
        <v>2</v>
      </c>
      <c r="L9" s="55" t="str">
        <f t="shared" si="2"/>
        <v>✔ Ausreichend</v>
      </c>
    </row>
    <row r="10" spans="1:13" ht="26.4" x14ac:dyDescent="0.3">
      <c r="A10" s="60" t="s">
        <v>66</v>
      </c>
      <c r="B10" s="61" t="s">
        <v>127</v>
      </c>
      <c r="C10" s="41">
        <v>150</v>
      </c>
      <c r="D10" s="41">
        <v>1</v>
      </c>
      <c r="E10" s="41">
        <v>2</v>
      </c>
      <c r="F10" s="41">
        <v>30</v>
      </c>
      <c r="G10" s="41">
        <v>5</v>
      </c>
      <c r="H10" s="41">
        <v>1</v>
      </c>
      <c r="I10" s="41">
        <v>9</v>
      </c>
      <c r="J10" s="59">
        <f t="shared" si="0"/>
        <v>1.05</v>
      </c>
      <c r="K10" s="43">
        <f t="shared" si="1"/>
        <v>32</v>
      </c>
      <c r="L10" s="55" t="str">
        <f t="shared" si="2"/>
        <v>✔ Ausreichend</v>
      </c>
    </row>
    <row r="11" spans="1:13" ht="26.4" x14ac:dyDescent="0.3">
      <c r="A11" s="9" t="s">
        <v>69</v>
      </c>
      <c r="B11" s="54" t="s">
        <v>128</v>
      </c>
      <c r="C11" s="41">
        <v>32</v>
      </c>
      <c r="D11" s="41">
        <v>3</v>
      </c>
      <c r="E11" s="41">
        <v>5</v>
      </c>
      <c r="F11" s="41">
        <v>4</v>
      </c>
      <c r="G11" s="41">
        <v>7</v>
      </c>
      <c r="H11" s="41">
        <v>3</v>
      </c>
      <c r="I11" s="41">
        <v>1</v>
      </c>
      <c r="J11" s="42">
        <f t="shared" si="0"/>
        <v>0.49</v>
      </c>
      <c r="K11" s="43">
        <f t="shared" si="1"/>
        <v>4</v>
      </c>
      <c r="L11" s="55" t="str">
        <f t="shared" si="2"/>
        <v>✔ Ausreichend</v>
      </c>
      <c r="M11" t="s">
        <v>120</v>
      </c>
    </row>
    <row r="12" spans="1:13" ht="26.4" x14ac:dyDescent="0.3">
      <c r="A12" s="10" t="s">
        <v>71</v>
      </c>
      <c r="B12" s="56" t="s">
        <v>129</v>
      </c>
      <c r="C12" s="41">
        <v>16</v>
      </c>
      <c r="D12" s="41">
        <v>5</v>
      </c>
      <c r="E12" s="41">
        <v>8</v>
      </c>
      <c r="F12" s="41">
        <v>2</v>
      </c>
      <c r="G12" s="41">
        <v>8</v>
      </c>
      <c r="H12" s="41">
        <v>7</v>
      </c>
      <c r="I12" s="41">
        <v>1</v>
      </c>
      <c r="J12" s="45">
        <f t="shared" si="0"/>
        <v>1.05</v>
      </c>
      <c r="K12" s="43">
        <f t="shared" si="1"/>
        <v>7</v>
      </c>
      <c r="L12" s="55" t="str">
        <f t="shared" si="2"/>
        <v>✔ Ausreichend</v>
      </c>
    </row>
    <row r="13" spans="1:13" ht="26.4" x14ac:dyDescent="0.3">
      <c r="A13" s="9" t="s">
        <v>73</v>
      </c>
      <c r="B13" s="54" t="s">
        <v>130</v>
      </c>
      <c r="C13" s="41">
        <v>8</v>
      </c>
      <c r="D13" s="41">
        <v>3</v>
      </c>
      <c r="E13" s="41">
        <v>5</v>
      </c>
      <c r="F13" s="41">
        <v>1</v>
      </c>
      <c r="G13" s="41">
        <v>5</v>
      </c>
      <c r="H13" s="41">
        <v>2</v>
      </c>
      <c r="I13" s="41">
        <v>1</v>
      </c>
      <c r="J13" s="42">
        <f t="shared" si="0"/>
        <v>0.49</v>
      </c>
      <c r="K13" s="43">
        <f t="shared" si="1"/>
        <v>1</v>
      </c>
      <c r="L13" s="55" t="str">
        <f t="shared" si="2"/>
        <v>✔ Ausreichend</v>
      </c>
    </row>
    <row r="14" spans="1:13" ht="26.4" x14ac:dyDescent="0.3">
      <c r="A14" s="10" t="s">
        <v>77</v>
      </c>
      <c r="B14" s="56" t="s">
        <v>131</v>
      </c>
      <c r="C14" s="41">
        <v>6</v>
      </c>
      <c r="D14" s="41">
        <v>8</v>
      </c>
      <c r="E14" s="41">
        <v>12</v>
      </c>
      <c r="F14" s="41">
        <v>1</v>
      </c>
      <c r="G14" s="41">
        <v>10</v>
      </c>
      <c r="H14" s="41">
        <v>8</v>
      </c>
      <c r="I14" s="41">
        <v>1</v>
      </c>
      <c r="J14" s="45">
        <f t="shared" si="0"/>
        <v>1.58</v>
      </c>
      <c r="K14" s="43">
        <f t="shared" si="1"/>
        <v>7</v>
      </c>
      <c r="L14" s="55" t="str">
        <f t="shared" si="2"/>
        <v>⚠ Kritischer Bestand</v>
      </c>
    </row>
    <row r="15" spans="1:13" ht="26.4" x14ac:dyDescent="0.3">
      <c r="A15" s="9" t="s">
        <v>79</v>
      </c>
      <c r="B15" s="54" t="s">
        <v>132</v>
      </c>
      <c r="C15" s="41">
        <v>80</v>
      </c>
      <c r="D15" s="41">
        <v>1</v>
      </c>
      <c r="E15" s="41">
        <v>2</v>
      </c>
      <c r="F15" s="41">
        <v>40</v>
      </c>
      <c r="G15" s="41">
        <v>4</v>
      </c>
      <c r="H15" s="41">
        <v>1</v>
      </c>
      <c r="I15" s="41">
        <v>1</v>
      </c>
      <c r="J15" s="42">
        <f t="shared" si="0"/>
        <v>0.49</v>
      </c>
      <c r="K15" s="43">
        <f t="shared" si="1"/>
        <v>20</v>
      </c>
      <c r="L15" s="55" t="str">
        <f t="shared" si="2"/>
        <v>✔ Ausreichend</v>
      </c>
    </row>
    <row r="16" spans="1:13" ht="26.4" x14ac:dyDescent="0.3">
      <c r="A16" s="10" t="s">
        <v>82</v>
      </c>
      <c r="B16" s="56" t="s">
        <v>133</v>
      </c>
      <c r="C16" s="41">
        <v>30</v>
      </c>
      <c r="D16" s="41">
        <v>2</v>
      </c>
      <c r="E16" s="41">
        <v>3</v>
      </c>
      <c r="F16" s="41">
        <v>30</v>
      </c>
      <c r="G16" s="41">
        <v>7</v>
      </c>
      <c r="H16" s="41">
        <v>2</v>
      </c>
      <c r="I16" s="41">
        <v>1</v>
      </c>
      <c r="J16" s="45">
        <f t="shared" si="0"/>
        <v>0.49</v>
      </c>
      <c r="K16" s="43">
        <f t="shared" si="1"/>
        <v>15</v>
      </c>
      <c r="L16" s="55" t="str">
        <f t="shared" si="2"/>
        <v>✔ Ausreichend</v>
      </c>
    </row>
    <row r="17" spans="1:12" ht="26.4" x14ac:dyDescent="0.3">
      <c r="A17" s="9" t="s">
        <v>84</v>
      </c>
      <c r="B17" s="54" t="s">
        <v>134</v>
      </c>
      <c r="C17" s="41">
        <v>200</v>
      </c>
      <c r="D17" s="41">
        <v>1</v>
      </c>
      <c r="E17" s="41">
        <v>2</v>
      </c>
      <c r="F17" s="41">
        <v>120</v>
      </c>
      <c r="G17" s="41">
        <v>3</v>
      </c>
      <c r="H17" s="41">
        <v>1</v>
      </c>
      <c r="I17" s="41">
        <v>1</v>
      </c>
      <c r="J17" s="42">
        <f t="shared" si="0"/>
        <v>0.34</v>
      </c>
      <c r="K17" s="43">
        <f t="shared" si="1"/>
        <v>41</v>
      </c>
      <c r="L17" s="55" t="str">
        <f t="shared" si="2"/>
        <v>✔ Ausreichend</v>
      </c>
    </row>
    <row r="18" spans="1:12" ht="26.4" x14ac:dyDescent="0.3">
      <c r="A18" s="10" t="s">
        <v>86</v>
      </c>
      <c r="B18" s="56" t="s">
        <v>135</v>
      </c>
      <c r="C18" s="41">
        <v>120</v>
      </c>
      <c r="D18" s="41">
        <v>1</v>
      </c>
      <c r="E18" s="41">
        <v>2</v>
      </c>
      <c r="F18" s="41">
        <v>80</v>
      </c>
      <c r="G18" s="41">
        <v>3</v>
      </c>
      <c r="H18" s="41">
        <v>1</v>
      </c>
      <c r="I18" s="41">
        <v>1</v>
      </c>
      <c r="J18" s="45">
        <f t="shared" si="0"/>
        <v>0.34</v>
      </c>
      <c r="K18" s="43">
        <f t="shared" si="1"/>
        <v>28</v>
      </c>
      <c r="L18" s="55" t="str">
        <f t="shared" si="2"/>
        <v>✔ Ausreichend</v>
      </c>
    </row>
    <row r="19" spans="1:12" ht="26.4" x14ac:dyDescent="0.3">
      <c r="A19" s="9" t="s">
        <v>88</v>
      </c>
      <c r="B19" s="54" t="s">
        <v>136</v>
      </c>
      <c r="C19" s="41">
        <v>48</v>
      </c>
      <c r="D19" s="41">
        <v>2</v>
      </c>
      <c r="E19" s="41">
        <v>3</v>
      </c>
      <c r="F19" s="41">
        <v>60</v>
      </c>
      <c r="G19" s="41">
        <v>5</v>
      </c>
      <c r="H19" s="41">
        <v>2</v>
      </c>
      <c r="I19" s="41">
        <v>1</v>
      </c>
      <c r="J19" s="42">
        <f t="shared" si="0"/>
        <v>0.49</v>
      </c>
      <c r="K19" s="43">
        <f t="shared" si="1"/>
        <v>30</v>
      </c>
      <c r="L19" s="55" t="str">
        <f t="shared" si="2"/>
        <v>✔ Ausreichend</v>
      </c>
    </row>
    <row r="20" spans="1:12" ht="26.4" x14ac:dyDescent="0.3">
      <c r="A20" s="10" t="s">
        <v>92</v>
      </c>
      <c r="B20" s="56" t="s">
        <v>137</v>
      </c>
      <c r="C20" s="41">
        <v>500</v>
      </c>
      <c r="D20" s="41">
        <v>1</v>
      </c>
      <c r="E20" s="41">
        <v>2</v>
      </c>
      <c r="F20" s="41">
        <v>240</v>
      </c>
      <c r="G20" s="41">
        <v>2</v>
      </c>
      <c r="H20" s="41">
        <v>1</v>
      </c>
      <c r="I20" s="41">
        <v>1</v>
      </c>
      <c r="J20" s="45">
        <f t="shared" si="0"/>
        <v>0.34</v>
      </c>
      <c r="K20" s="43">
        <f t="shared" si="1"/>
        <v>82</v>
      </c>
      <c r="L20" s="55" t="str">
        <f t="shared" si="2"/>
        <v>✔ Ausreichend</v>
      </c>
    </row>
    <row r="21" spans="1:12" ht="26.4" x14ac:dyDescent="0.3">
      <c r="A21" s="9" t="s">
        <v>94</v>
      </c>
      <c r="B21" s="54" t="s">
        <v>138</v>
      </c>
      <c r="C21" s="41">
        <v>300</v>
      </c>
      <c r="D21" s="41">
        <v>1</v>
      </c>
      <c r="E21" s="41">
        <v>2</v>
      </c>
      <c r="F21" s="41">
        <v>160</v>
      </c>
      <c r="G21" s="41">
        <v>2</v>
      </c>
      <c r="H21" s="41">
        <v>1</v>
      </c>
      <c r="I21" s="41">
        <v>1</v>
      </c>
      <c r="J21" s="42">
        <f t="shared" si="0"/>
        <v>0.34</v>
      </c>
      <c r="K21" s="43">
        <f t="shared" si="1"/>
        <v>55</v>
      </c>
      <c r="L21" s="55" t="str">
        <f t="shared" si="2"/>
        <v>✔ Ausreichend</v>
      </c>
    </row>
    <row r="22" spans="1:12" ht="26.4" x14ac:dyDescent="0.3">
      <c r="A22" s="10" t="s">
        <v>96</v>
      </c>
      <c r="B22" s="56" t="s">
        <v>139</v>
      </c>
      <c r="C22" s="41">
        <v>12</v>
      </c>
      <c r="D22" s="41">
        <v>4</v>
      </c>
      <c r="E22" s="41">
        <v>6</v>
      </c>
      <c r="F22" s="41">
        <v>1</v>
      </c>
      <c r="G22" s="41">
        <v>8</v>
      </c>
      <c r="H22" s="41">
        <v>5</v>
      </c>
      <c r="I22" s="41">
        <v>1</v>
      </c>
      <c r="J22" s="45">
        <f t="shared" si="0"/>
        <v>1.05</v>
      </c>
      <c r="K22" s="43">
        <f t="shared" si="1"/>
        <v>3</v>
      </c>
      <c r="L22" s="55" t="str">
        <f t="shared" si="2"/>
        <v>✔ Ausreichend</v>
      </c>
    </row>
    <row r="23" spans="1:12" ht="26.4" x14ac:dyDescent="0.3">
      <c r="A23" s="9" t="s">
        <v>98</v>
      </c>
      <c r="B23" s="54" t="s">
        <v>140</v>
      </c>
      <c r="C23" s="41">
        <v>60</v>
      </c>
      <c r="D23" s="41">
        <v>2</v>
      </c>
      <c r="E23" s="41">
        <v>3</v>
      </c>
      <c r="F23" s="41">
        <v>6</v>
      </c>
      <c r="G23" s="41">
        <v>6</v>
      </c>
      <c r="H23" s="41">
        <v>2</v>
      </c>
      <c r="I23" s="41">
        <v>4</v>
      </c>
      <c r="J23" s="42">
        <f t="shared" si="0"/>
        <v>0.7</v>
      </c>
      <c r="K23" s="43">
        <f t="shared" si="1"/>
        <v>5</v>
      </c>
      <c r="L23" s="55" t="str">
        <f t="shared" si="2"/>
        <v>✔ Ausreichend</v>
      </c>
    </row>
    <row r="24" spans="1:12" ht="26.4" x14ac:dyDescent="0.3">
      <c r="A24" s="10" t="s">
        <v>100</v>
      </c>
      <c r="B24" s="56" t="s">
        <v>141</v>
      </c>
      <c r="C24" s="41">
        <v>480</v>
      </c>
      <c r="D24" s="41">
        <v>1</v>
      </c>
      <c r="E24" s="41">
        <v>2</v>
      </c>
      <c r="F24" s="41">
        <v>240</v>
      </c>
      <c r="G24" s="41">
        <v>2</v>
      </c>
      <c r="H24" s="41">
        <v>1</v>
      </c>
      <c r="I24" s="41">
        <v>1</v>
      </c>
      <c r="J24" s="45">
        <f t="shared" si="0"/>
        <v>0.34</v>
      </c>
      <c r="K24" s="43">
        <f t="shared" si="1"/>
        <v>82</v>
      </c>
      <c r="L24" s="55" t="str">
        <f t="shared" si="2"/>
        <v>✔ Ausreichend</v>
      </c>
    </row>
    <row r="25" spans="1:12" ht="26.4" x14ac:dyDescent="0.3">
      <c r="A25" s="9" t="s">
        <v>102</v>
      </c>
      <c r="B25" s="54" t="s">
        <v>142</v>
      </c>
      <c r="C25" s="41">
        <v>40</v>
      </c>
      <c r="D25" s="41">
        <v>2</v>
      </c>
      <c r="E25" s="41">
        <v>3</v>
      </c>
      <c r="F25" s="41">
        <v>4</v>
      </c>
      <c r="G25" s="41">
        <v>4</v>
      </c>
      <c r="H25" s="41">
        <v>2</v>
      </c>
      <c r="I25" s="41">
        <v>1</v>
      </c>
      <c r="J25" s="42">
        <f t="shared" si="0"/>
        <v>0.49</v>
      </c>
      <c r="K25" s="43">
        <f t="shared" si="1"/>
        <v>2</v>
      </c>
      <c r="L25" s="55" t="str">
        <f t="shared" si="2"/>
        <v>✔ Ausreichend</v>
      </c>
    </row>
    <row r="26" spans="1:12" ht="26.4" x14ac:dyDescent="0.3">
      <c r="A26" s="10" t="s">
        <v>104</v>
      </c>
      <c r="B26" s="56" t="s">
        <v>143</v>
      </c>
      <c r="C26" s="41">
        <v>56</v>
      </c>
      <c r="D26" s="41">
        <v>3</v>
      </c>
      <c r="E26" s="41">
        <v>5</v>
      </c>
      <c r="F26" s="41">
        <v>8</v>
      </c>
      <c r="G26" s="41">
        <v>6</v>
      </c>
      <c r="H26" s="41">
        <v>3</v>
      </c>
      <c r="I26" s="41">
        <v>1</v>
      </c>
      <c r="J26" s="45">
        <f t="shared" si="0"/>
        <v>0.49</v>
      </c>
      <c r="K26" s="43">
        <f t="shared" si="1"/>
        <v>8</v>
      </c>
      <c r="L26" s="55" t="str">
        <f t="shared" si="2"/>
        <v>✔ Ausreichend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J9" sqref="J8:J9"/>
    </sheetView>
  </sheetViews>
  <sheetFormatPr defaultRowHeight="14.4" x14ac:dyDescent="0.3"/>
  <cols>
    <col min="1" max="1" width="24" customWidth="1"/>
    <col min="2" max="2" width="28" customWidth="1"/>
    <col min="3" max="3" width="65" customWidth="1"/>
  </cols>
  <sheetData>
    <row r="1" spans="1:3" ht="34.950000000000003" customHeight="1" x14ac:dyDescent="0.3">
      <c r="A1" s="76" t="s">
        <v>0</v>
      </c>
      <c r="B1" s="74"/>
      <c r="C1" s="75"/>
    </row>
    <row r="2" spans="1:3" ht="25.05" customHeight="1" x14ac:dyDescent="0.3">
      <c r="A2" s="77" t="s">
        <v>1</v>
      </c>
      <c r="B2" s="74"/>
      <c r="C2" s="75"/>
    </row>
    <row r="3" spans="1:3" x14ac:dyDescent="0.3">
      <c r="A3" s="1" t="s">
        <v>2</v>
      </c>
      <c r="B3" s="1" t="s">
        <v>3</v>
      </c>
      <c r="C3" s="1" t="s">
        <v>4</v>
      </c>
    </row>
    <row r="4" spans="1:3" ht="28.05" customHeight="1" x14ac:dyDescent="0.3">
      <c r="A4" s="30" t="s">
        <v>5</v>
      </c>
      <c r="B4" s="57" t="s">
        <v>6</v>
      </c>
      <c r="C4" s="12" t="s">
        <v>7</v>
      </c>
    </row>
    <row r="5" spans="1:3" ht="28.05" customHeight="1" x14ac:dyDescent="0.3">
      <c r="A5" s="29" t="s">
        <v>5</v>
      </c>
      <c r="B5" s="41" t="s">
        <v>8</v>
      </c>
      <c r="C5" s="13" t="s">
        <v>9</v>
      </c>
    </row>
    <row r="6" spans="1:3" ht="28.05" customHeight="1" x14ac:dyDescent="0.3">
      <c r="A6" s="28" t="s">
        <v>5</v>
      </c>
      <c r="B6" s="58" t="s">
        <v>10</v>
      </c>
      <c r="C6" s="14" t="s">
        <v>11</v>
      </c>
    </row>
    <row r="7" spans="1:3" ht="28.05" customHeight="1" x14ac:dyDescent="0.3">
      <c r="A7" s="17"/>
      <c r="B7" s="21"/>
      <c r="C7" s="17"/>
    </row>
    <row r="8" spans="1:3" ht="28.05" customHeight="1" x14ac:dyDescent="0.3">
      <c r="A8" s="30" t="s">
        <v>12</v>
      </c>
      <c r="B8" s="57" t="s">
        <v>6</v>
      </c>
      <c r="C8" s="12" t="s">
        <v>13</v>
      </c>
    </row>
    <row r="9" spans="1:3" ht="28.05" customHeight="1" x14ac:dyDescent="0.3">
      <c r="A9" s="29" t="s">
        <v>12</v>
      </c>
      <c r="B9" s="41" t="s">
        <v>8</v>
      </c>
      <c r="C9" s="13" t="s">
        <v>14</v>
      </c>
    </row>
    <row r="10" spans="1:3" ht="28.05" customHeight="1" x14ac:dyDescent="0.3">
      <c r="A10" s="28" t="s">
        <v>12</v>
      </c>
      <c r="B10" s="58" t="s">
        <v>10</v>
      </c>
      <c r="C10" s="14" t="s">
        <v>15</v>
      </c>
    </row>
    <row r="11" spans="1:3" ht="28.05" customHeight="1" x14ac:dyDescent="0.3">
      <c r="A11" s="17"/>
      <c r="B11" s="21"/>
      <c r="C11" s="17"/>
    </row>
    <row r="12" spans="1:3" ht="28.05" customHeight="1" x14ac:dyDescent="0.3">
      <c r="A12" s="30" t="s">
        <v>16</v>
      </c>
      <c r="B12" s="57" t="s">
        <v>6</v>
      </c>
      <c r="C12" s="12" t="s">
        <v>17</v>
      </c>
    </row>
    <row r="13" spans="1:3" ht="28.05" customHeight="1" x14ac:dyDescent="0.3">
      <c r="A13" s="29" t="s">
        <v>16</v>
      </c>
      <c r="B13" s="41" t="s">
        <v>8</v>
      </c>
      <c r="C13" s="13" t="s">
        <v>18</v>
      </c>
    </row>
    <row r="14" spans="1:3" ht="28.05" customHeight="1" x14ac:dyDescent="0.3">
      <c r="A14" s="28" t="s">
        <v>16</v>
      </c>
      <c r="B14" s="58" t="s">
        <v>10</v>
      </c>
      <c r="C14" s="14" t="s">
        <v>19</v>
      </c>
    </row>
    <row r="15" spans="1:3" ht="28.05" customHeight="1" x14ac:dyDescent="0.3">
      <c r="A15" s="17"/>
      <c r="B15" s="21"/>
      <c r="C15" s="17"/>
    </row>
    <row r="16" spans="1:3" ht="28.05" customHeight="1" x14ac:dyDescent="0.3">
      <c r="A16" s="76" t="s">
        <v>20</v>
      </c>
      <c r="B16" s="74"/>
      <c r="C16" s="75"/>
    </row>
    <row r="17" spans="1:3" ht="28.05" customHeight="1" x14ac:dyDescent="0.3">
      <c r="A17" s="78" t="s">
        <v>21</v>
      </c>
      <c r="B17" s="74"/>
      <c r="C17" s="75"/>
    </row>
    <row r="18" spans="1:3" ht="28.05" customHeight="1" x14ac:dyDescent="0.3">
      <c r="A18" s="79" t="s">
        <v>22</v>
      </c>
      <c r="B18" s="74"/>
      <c r="C18" s="75"/>
    </row>
    <row r="20" spans="1:3" ht="28.05" customHeight="1" x14ac:dyDescent="0.3">
      <c r="A20" s="80" t="s">
        <v>23</v>
      </c>
      <c r="B20" s="74"/>
      <c r="C20" s="75"/>
    </row>
    <row r="21" spans="1:3" ht="45" customHeight="1" x14ac:dyDescent="0.3">
      <c r="A21" s="16" t="s">
        <v>24</v>
      </c>
      <c r="B21" s="22" t="s">
        <v>25</v>
      </c>
      <c r="C21" s="15" t="s">
        <v>26</v>
      </c>
    </row>
    <row r="22" spans="1:3" ht="45" customHeight="1" x14ac:dyDescent="0.3">
      <c r="A22" s="18" t="s">
        <v>27</v>
      </c>
      <c r="B22" s="23" t="s">
        <v>28</v>
      </c>
      <c r="C22" s="17" t="s">
        <v>29</v>
      </c>
    </row>
    <row r="23" spans="1:3" ht="45" customHeight="1" x14ac:dyDescent="0.3">
      <c r="A23" s="16" t="s">
        <v>30</v>
      </c>
      <c r="B23" s="22" t="s">
        <v>31</v>
      </c>
      <c r="C23" s="15" t="s">
        <v>32</v>
      </c>
    </row>
    <row r="24" spans="1:3" ht="45" customHeight="1" x14ac:dyDescent="0.3">
      <c r="A24" s="20" t="s">
        <v>33</v>
      </c>
      <c r="B24" s="24" t="s">
        <v>34</v>
      </c>
      <c r="C24" s="19" t="s">
        <v>35</v>
      </c>
    </row>
    <row r="25" spans="1:3" ht="45" customHeight="1" x14ac:dyDescent="0.3">
      <c r="A25" s="73" t="s">
        <v>36</v>
      </c>
      <c r="B25" s="74"/>
      <c r="C25" s="75"/>
    </row>
    <row r="26" spans="1:3" ht="37.950000000000003" customHeight="1" x14ac:dyDescent="0.3"/>
    <row r="27" spans="1:3" ht="37.950000000000003" customHeight="1" x14ac:dyDescent="0.3"/>
    <row r="28" spans="1:3" ht="37.950000000000003" customHeight="1" x14ac:dyDescent="0.3"/>
  </sheetData>
  <mergeCells count="7">
    <mergeCell ref="A25:C25"/>
    <mergeCell ref="A1:C1"/>
    <mergeCell ref="A2:C2"/>
    <mergeCell ref="A17:C17"/>
    <mergeCell ref="A18:C18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sqref="A1:C1"/>
    </sheetView>
  </sheetViews>
  <sheetFormatPr defaultRowHeight="14.4" x14ac:dyDescent="0.3"/>
  <cols>
    <col min="1" max="1" width="10" customWidth="1"/>
    <col min="2" max="2" width="22" customWidth="1"/>
    <col min="3" max="3" width="35" customWidth="1"/>
  </cols>
  <sheetData>
    <row r="1" spans="1:3" ht="31.95" customHeight="1" x14ac:dyDescent="0.3">
      <c r="A1" s="81" t="s">
        <v>144</v>
      </c>
      <c r="B1" s="82"/>
      <c r="C1" s="82"/>
    </row>
    <row r="2" spans="1:3" ht="37.799999999999997" customHeight="1" x14ac:dyDescent="0.3">
      <c r="A2" s="1" t="s">
        <v>145</v>
      </c>
      <c r="B2" s="1" t="s">
        <v>146</v>
      </c>
      <c r="C2" s="1" t="s">
        <v>147</v>
      </c>
    </row>
    <row r="3" spans="1:3" x14ac:dyDescent="0.3">
      <c r="A3" s="44">
        <v>1</v>
      </c>
      <c r="B3" s="41">
        <v>8</v>
      </c>
      <c r="C3" s="48" t="s">
        <v>148</v>
      </c>
    </row>
    <row r="4" spans="1:3" x14ac:dyDescent="0.3">
      <c r="A4" s="46">
        <v>2</v>
      </c>
      <c r="B4" s="41">
        <v>6</v>
      </c>
      <c r="C4" s="48" t="s">
        <v>148</v>
      </c>
    </row>
    <row r="5" spans="1:3" x14ac:dyDescent="0.3">
      <c r="A5" s="44">
        <v>3</v>
      </c>
      <c r="B5" s="41">
        <v>12</v>
      </c>
      <c r="C5" s="48" t="s">
        <v>149</v>
      </c>
    </row>
    <row r="6" spans="1:3" x14ac:dyDescent="0.3">
      <c r="A6" s="46">
        <v>4</v>
      </c>
      <c r="B6" s="41">
        <v>10</v>
      </c>
      <c r="C6" s="48" t="s">
        <v>148</v>
      </c>
    </row>
    <row r="7" spans="1:3" x14ac:dyDescent="0.3">
      <c r="A7" s="44">
        <v>5</v>
      </c>
      <c r="B7" s="41">
        <v>8</v>
      </c>
      <c r="C7" s="48" t="s">
        <v>148</v>
      </c>
    </row>
    <row r="8" spans="1:3" x14ac:dyDescent="0.3">
      <c r="A8" s="46">
        <v>6</v>
      </c>
      <c r="B8" s="41">
        <v>15</v>
      </c>
      <c r="C8" s="48" t="s">
        <v>150</v>
      </c>
    </row>
    <row r="9" spans="1:3" x14ac:dyDescent="0.3">
      <c r="A9" s="44">
        <v>7</v>
      </c>
      <c r="B9" s="41">
        <v>4</v>
      </c>
      <c r="C9" s="48" t="s">
        <v>151</v>
      </c>
    </row>
    <row r="10" spans="1:3" x14ac:dyDescent="0.3">
      <c r="A10" s="46">
        <v>8</v>
      </c>
      <c r="B10" s="41">
        <v>10</v>
      </c>
      <c r="C10" s="48" t="s">
        <v>148</v>
      </c>
    </row>
    <row r="11" spans="1:3" x14ac:dyDescent="0.3">
      <c r="A11" s="44">
        <v>9</v>
      </c>
      <c r="B11" s="41">
        <v>14</v>
      </c>
      <c r="C11" s="48" t="s">
        <v>152</v>
      </c>
    </row>
    <row r="12" spans="1:3" x14ac:dyDescent="0.3">
      <c r="A12" s="46">
        <v>10</v>
      </c>
      <c r="B12" s="41">
        <v>8</v>
      </c>
      <c r="C12" s="48" t="s">
        <v>148</v>
      </c>
    </row>
    <row r="13" spans="1:3" x14ac:dyDescent="0.3">
      <c r="A13" s="44">
        <v>11</v>
      </c>
      <c r="B13" s="41">
        <v>11</v>
      </c>
      <c r="C13" s="48" t="s">
        <v>148</v>
      </c>
    </row>
    <row r="14" spans="1:3" x14ac:dyDescent="0.3">
      <c r="A14" s="46">
        <v>12</v>
      </c>
      <c r="B14" s="41">
        <v>18</v>
      </c>
      <c r="C14" s="48" t="s">
        <v>153</v>
      </c>
    </row>
    <row r="16" spans="1:3" ht="18" customHeight="1" x14ac:dyDescent="0.3"/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tabSelected="1" topLeftCell="A28" workbookViewId="0">
      <selection activeCell="J21" sqref="J21"/>
    </sheetView>
  </sheetViews>
  <sheetFormatPr defaultRowHeight="14.4" x14ac:dyDescent="0.3"/>
  <cols>
    <col min="1" max="1" width="8" customWidth="1"/>
    <col min="2" max="2" width="32" customWidth="1"/>
    <col min="3" max="3" width="10" customWidth="1"/>
    <col min="4" max="7" width="13" customWidth="1"/>
    <col min="8" max="9" width="14" customWidth="1"/>
    <col min="10" max="10" width="29.44140625" customWidth="1"/>
  </cols>
  <sheetData>
    <row r="1" spans="1:9" ht="34.950000000000003" customHeight="1" x14ac:dyDescent="0.3">
      <c r="A1" s="76" t="s">
        <v>154</v>
      </c>
      <c r="B1" s="74"/>
      <c r="C1" s="74"/>
      <c r="D1" s="74"/>
      <c r="E1" s="74"/>
      <c r="F1" s="74"/>
      <c r="G1" s="74"/>
      <c r="H1" s="74"/>
      <c r="I1" s="75"/>
    </row>
    <row r="2" spans="1:9" ht="25.05" customHeight="1" x14ac:dyDescent="0.3">
      <c r="A2" s="77" t="s">
        <v>204</v>
      </c>
      <c r="B2" s="74"/>
      <c r="C2" s="74"/>
      <c r="D2" s="74"/>
      <c r="E2" s="74"/>
      <c r="F2" s="74"/>
      <c r="G2" s="74"/>
      <c r="H2" s="74"/>
      <c r="I2" s="75"/>
    </row>
    <row r="3" spans="1:9" ht="22.05" customHeight="1" x14ac:dyDescent="0.3">
      <c r="A3" s="87" t="s">
        <v>155</v>
      </c>
      <c r="B3" s="74"/>
      <c r="C3" s="75"/>
      <c r="D3" s="90">
        <v>8</v>
      </c>
      <c r="E3" s="75"/>
      <c r="F3" s="83" t="s">
        <v>156</v>
      </c>
      <c r="G3" s="74"/>
      <c r="H3" s="74"/>
      <c r="I3" s="75"/>
    </row>
    <row r="4" spans="1:9" ht="22.05" customHeight="1" x14ac:dyDescent="0.3">
      <c r="A4" s="93" t="s">
        <v>157</v>
      </c>
      <c r="B4" s="74"/>
      <c r="C4" s="75"/>
      <c r="D4" s="102">
        <v>5</v>
      </c>
      <c r="E4" s="75"/>
      <c r="F4" s="89" t="s">
        <v>158</v>
      </c>
      <c r="G4" s="74"/>
      <c r="H4" s="74"/>
      <c r="I4" s="75"/>
    </row>
    <row r="5" spans="1:9" ht="22.05" customHeight="1" x14ac:dyDescent="0.3">
      <c r="A5" s="87" t="s">
        <v>159</v>
      </c>
      <c r="B5" s="74"/>
      <c r="C5" s="75"/>
      <c r="D5" s="103">
        <f>D3*D4</f>
        <v>40</v>
      </c>
      <c r="E5" s="75"/>
      <c r="F5" s="83" t="s">
        <v>160</v>
      </c>
      <c r="G5" s="74"/>
      <c r="H5" s="74"/>
      <c r="I5" s="75"/>
    </row>
    <row r="6" spans="1:9" ht="22.05" customHeight="1" x14ac:dyDescent="0.3">
      <c r="A6" s="93" t="s">
        <v>161</v>
      </c>
      <c r="B6" s="74"/>
      <c r="C6" s="75"/>
      <c r="D6" s="90">
        <v>16</v>
      </c>
      <c r="E6" s="75"/>
      <c r="F6" s="89" t="s">
        <v>162</v>
      </c>
      <c r="G6" s="74"/>
      <c r="H6" s="74"/>
      <c r="I6" s="75"/>
    </row>
    <row r="7" spans="1:9" ht="22.05" customHeight="1" x14ac:dyDescent="0.3">
      <c r="A7" s="87" t="s">
        <v>163</v>
      </c>
      <c r="B7" s="74"/>
      <c r="C7" s="75"/>
      <c r="D7" s="90">
        <v>3.5</v>
      </c>
      <c r="E7" s="75"/>
      <c r="F7" s="83" t="s">
        <v>164</v>
      </c>
      <c r="G7" s="74"/>
      <c r="H7" s="74"/>
      <c r="I7" s="75"/>
    </row>
    <row r="8" spans="1:9" ht="22.05" customHeight="1" x14ac:dyDescent="0.3">
      <c r="A8" s="93" t="s">
        <v>165</v>
      </c>
      <c r="B8" s="74"/>
      <c r="C8" s="75"/>
      <c r="D8" s="106">
        <v>0.85</v>
      </c>
      <c r="E8" s="75"/>
      <c r="F8" s="89" t="s">
        <v>166</v>
      </c>
      <c r="G8" s="74"/>
      <c r="H8" s="74"/>
      <c r="I8" s="75"/>
    </row>
    <row r="9" spans="1:9" ht="22.05" customHeight="1" x14ac:dyDescent="0.3">
      <c r="A9" s="87" t="s">
        <v>167</v>
      </c>
      <c r="B9" s="74"/>
      <c r="C9" s="75"/>
      <c r="D9" s="103">
        <f>D5*D8</f>
        <v>34</v>
      </c>
      <c r="E9" s="75"/>
      <c r="F9" s="83" t="s">
        <v>168</v>
      </c>
      <c r="G9" s="74"/>
      <c r="H9" s="74"/>
      <c r="I9" s="75"/>
    </row>
    <row r="11" spans="1:9" ht="25.05" customHeight="1" x14ac:dyDescent="0.3">
      <c r="A11" s="80" t="s">
        <v>205</v>
      </c>
      <c r="B11" s="74"/>
      <c r="C11" s="74"/>
      <c r="D11" s="74"/>
      <c r="E11" s="74"/>
      <c r="F11" s="74"/>
      <c r="G11" s="74"/>
      <c r="H11" s="74"/>
      <c r="I11" s="75"/>
    </row>
    <row r="12" spans="1:9" ht="28.05" customHeight="1" x14ac:dyDescent="0.3">
      <c r="A12" s="97" t="s">
        <v>169</v>
      </c>
      <c r="B12" s="75"/>
      <c r="C12" s="88" t="s">
        <v>170</v>
      </c>
      <c r="D12" s="74"/>
      <c r="E12" s="75"/>
      <c r="F12" s="89" t="s">
        <v>171</v>
      </c>
      <c r="G12" s="74"/>
      <c r="H12" s="74"/>
      <c r="I12" s="75"/>
    </row>
    <row r="13" spans="1:9" ht="28.05" customHeight="1" x14ac:dyDescent="0.3">
      <c r="A13" s="84" t="s">
        <v>172</v>
      </c>
      <c r="B13" s="75"/>
      <c r="C13" s="99" t="s">
        <v>173</v>
      </c>
      <c r="D13" s="74"/>
      <c r="E13" s="75"/>
      <c r="F13" s="83" t="s">
        <v>174</v>
      </c>
      <c r="G13" s="74"/>
      <c r="H13" s="74"/>
      <c r="I13" s="75"/>
    </row>
    <row r="14" spans="1:9" ht="28.05" customHeight="1" x14ac:dyDescent="0.3">
      <c r="A14" s="97" t="s">
        <v>175</v>
      </c>
      <c r="B14" s="75"/>
      <c r="C14" s="88" t="s">
        <v>176</v>
      </c>
      <c r="D14" s="74"/>
      <c r="E14" s="75"/>
      <c r="F14" s="89" t="s">
        <v>177</v>
      </c>
      <c r="G14" s="74"/>
      <c r="H14" s="74"/>
      <c r="I14" s="75"/>
    </row>
    <row r="15" spans="1:9" ht="28.05" customHeight="1" x14ac:dyDescent="0.3">
      <c r="A15" s="84" t="s">
        <v>178</v>
      </c>
      <c r="B15" s="75"/>
      <c r="C15" s="99" t="s">
        <v>179</v>
      </c>
      <c r="D15" s="74"/>
      <c r="E15" s="75"/>
      <c r="F15" s="83" t="s">
        <v>208</v>
      </c>
      <c r="G15" s="74"/>
      <c r="H15" s="74"/>
      <c r="I15" s="75"/>
    </row>
    <row r="17" spans="1:10" ht="25.05" customHeight="1" x14ac:dyDescent="0.3">
      <c r="A17" s="77" t="s">
        <v>206</v>
      </c>
      <c r="B17" s="74"/>
      <c r="C17" s="74"/>
      <c r="D17" s="74"/>
      <c r="E17" s="74"/>
      <c r="F17" s="74"/>
      <c r="G17" s="74"/>
      <c r="H17" s="74"/>
      <c r="I17" s="75"/>
    </row>
    <row r="18" spans="1:10" ht="57.6" customHeight="1" x14ac:dyDescent="0.3">
      <c r="A18" s="1" t="s">
        <v>145</v>
      </c>
      <c r="B18" s="1" t="s">
        <v>4</v>
      </c>
      <c r="C18" s="1" t="s">
        <v>180</v>
      </c>
      <c r="D18" s="1" t="s">
        <v>181</v>
      </c>
      <c r="E18" s="1" t="s">
        <v>182</v>
      </c>
      <c r="F18" s="1" t="s">
        <v>183</v>
      </c>
      <c r="G18" s="1" t="s">
        <v>184</v>
      </c>
      <c r="H18" s="1" t="s">
        <v>185</v>
      </c>
      <c r="I18" s="1" t="s">
        <v>186</v>
      </c>
      <c r="J18" s="1" t="s">
        <v>187</v>
      </c>
    </row>
    <row r="19" spans="1:10" ht="26.4" customHeight="1" x14ac:dyDescent="0.3">
      <c r="A19" s="32">
        <f>1</f>
        <v>1</v>
      </c>
      <c r="B19" s="14" t="s">
        <v>148</v>
      </c>
      <c r="C19" s="31">
        <v>8</v>
      </c>
      <c r="D19" s="49">
        <f t="shared" ref="D19:D24" si="0">$D$9</f>
        <v>34</v>
      </c>
      <c r="E19" s="50">
        <f t="shared" ref="E19:E30" si="1">D19/C19</f>
        <v>4.25</v>
      </c>
      <c r="F19" s="33">
        <f t="shared" ref="F19:F30" si="2">$D$7</f>
        <v>3.5</v>
      </c>
      <c r="G19" s="49">
        <f t="shared" ref="G19:G30" si="3">C19*F19</f>
        <v>28</v>
      </c>
      <c r="H19" s="34">
        <f t="shared" ref="H19:H30" si="4">D19-G19</f>
        <v>6</v>
      </c>
      <c r="I19" s="35">
        <f t="shared" ref="I19:I30" si="5">G19/D19</f>
        <v>0.82352941176470584</v>
      </c>
      <c r="J19" s="62" t="str">
        <f>IF(F19&gt;E19,"⚠ Engpass — Zyklus &gt; Takt","✔ Ausreichend — Zyklus &lt; Takt")</f>
        <v>✔ Ausreichend — Zyklus &lt; Takt</v>
      </c>
    </row>
    <row r="20" spans="1:10" ht="26.4" customHeight="1" x14ac:dyDescent="0.3">
      <c r="A20" s="63">
        <f>2</f>
        <v>2</v>
      </c>
      <c r="B20" s="64" t="s">
        <v>148</v>
      </c>
      <c r="C20" s="31">
        <v>6</v>
      </c>
      <c r="D20" s="65">
        <f t="shared" si="0"/>
        <v>34</v>
      </c>
      <c r="E20" s="66">
        <f t="shared" si="1"/>
        <v>5.666666666666667</v>
      </c>
      <c r="F20" s="67">
        <f t="shared" si="2"/>
        <v>3.5</v>
      </c>
      <c r="G20" s="65">
        <f t="shared" si="3"/>
        <v>21</v>
      </c>
      <c r="H20" s="68">
        <f t="shared" si="4"/>
        <v>13</v>
      </c>
      <c r="I20" s="69">
        <f t="shared" si="5"/>
        <v>0.61764705882352944</v>
      </c>
      <c r="J20" s="70" t="str">
        <f>IF(F20&gt;E20,"⚠ Engpass — Zyklus &gt; Takt","✔ Ausreichend — Zyklus &lt; Takt")</f>
        <v>✔ Ausreichend — Zyklus &lt; Takt</v>
      </c>
    </row>
    <row r="21" spans="1:10" ht="39.6" customHeight="1" x14ac:dyDescent="0.3">
      <c r="A21" s="11">
        <f>3</f>
        <v>3</v>
      </c>
      <c r="B21" s="19" t="s">
        <v>149</v>
      </c>
      <c r="C21" s="31">
        <v>12</v>
      </c>
      <c r="D21" s="51">
        <f t="shared" si="0"/>
        <v>34</v>
      </c>
      <c r="E21" s="47">
        <f t="shared" si="1"/>
        <v>2.8333333333333335</v>
      </c>
      <c r="F21" s="36">
        <f t="shared" si="2"/>
        <v>3.5</v>
      </c>
      <c r="G21" s="51">
        <f t="shared" si="3"/>
        <v>42</v>
      </c>
      <c r="H21" s="37">
        <f t="shared" si="4"/>
        <v>-8</v>
      </c>
      <c r="I21" s="38">
        <f t="shared" si="5"/>
        <v>1.2352941176470589</v>
      </c>
      <c r="J21" s="25" t="str">
        <f t="shared" ref="J19:J30" si="6">IF(F21&gt;E21,"⚠ Engpass — Zyklus &gt; Takt","✔ Yeterli — Cycle &lt; Takt")</f>
        <v>⚠ Engpass — Zyklus &gt; Takt</v>
      </c>
    </row>
    <row r="22" spans="1:10" ht="39.6" customHeight="1" x14ac:dyDescent="0.3">
      <c r="A22" s="11">
        <f>4</f>
        <v>4</v>
      </c>
      <c r="B22" s="19" t="s">
        <v>148</v>
      </c>
      <c r="C22" s="31">
        <v>10</v>
      </c>
      <c r="D22" s="51">
        <f t="shared" si="0"/>
        <v>34</v>
      </c>
      <c r="E22" s="47">
        <f t="shared" si="1"/>
        <v>3.4</v>
      </c>
      <c r="F22" s="36">
        <f t="shared" si="2"/>
        <v>3.5</v>
      </c>
      <c r="G22" s="51">
        <f t="shared" si="3"/>
        <v>35</v>
      </c>
      <c r="H22" s="37">
        <f t="shared" si="4"/>
        <v>-1</v>
      </c>
      <c r="I22" s="38">
        <f t="shared" si="5"/>
        <v>1.0294117647058822</v>
      </c>
      <c r="J22" s="25" t="str">
        <f t="shared" si="6"/>
        <v>⚠ Engpass — Zyklus &gt; Takt</v>
      </c>
    </row>
    <row r="23" spans="1:10" ht="26.4" customHeight="1" x14ac:dyDescent="0.3">
      <c r="A23" s="32">
        <f>5</f>
        <v>5</v>
      </c>
      <c r="B23" s="14" t="s">
        <v>148</v>
      </c>
      <c r="C23" s="31">
        <v>8</v>
      </c>
      <c r="D23" s="49">
        <f t="shared" si="0"/>
        <v>34</v>
      </c>
      <c r="E23" s="50">
        <f t="shared" si="1"/>
        <v>4.25</v>
      </c>
      <c r="F23" s="33">
        <f t="shared" si="2"/>
        <v>3.5</v>
      </c>
      <c r="G23" s="49">
        <f t="shared" si="3"/>
        <v>28</v>
      </c>
      <c r="H23" s="34">
        <f t="shared" si="4"/>
        <v>6</v>
      </c>
      <c r="I23" s="35">
        <f t="shared" si="5"/>
        <v>0.82352941176470584</v>
      </c>
      <c r="J23" s="62" t="str">
        <f>IF(F23&gt;E23,"⚠ Engpass — Zyklus &gt; Takt","✔ Ausreichend — Zyklus &lt; Takt")</f>
        <v>✔ Ausreichend — Zyklus &lt; Takt</v>
      </c>
    </row>
    <row r="24" spans="1:10" ht="39.6" customHeight="1" x14ac:dyDescent="0.3">
      <c r="A24" s="11">
        <f>6</f>
        <v>6</v>
      </c>
      <c r="B24" s="19" t="s">
        <v>188</v>
      </c>
      <c r="C24" s="31">
        <v>15</v>
      </c>
      <c r="D24" s="51">
        <f t="shared" si="0"/>
        <v>34</v>
      </c>
      <c r="E24" s="47">
        <f t="shared" si="1"/>
        <v>2.2666666666666666</v>
      </c>
      <c r="F24" s="36">
        <f t="shared" si="2"/>
        <v>3.5</v>
      </c>
      <c r="G24" s="51">
        <f t="shared" si="3"/>
        <v>52.5</v>
      </c>
      <c r="H24" s="37">
        <f t="shared" si="4"/>
        <v>-18.5</v>
      </c>
      <c r="I24" s="38">
        <f t="shared" si="5"/>
        <v>1.5441176470588236</v>
      </c>
      <c r="J24" s="25" t="str">
        <f>IF(F24&gt;E24,"⚠ Engpass — Zyklus &gt; Takt","✔ Ausreichend — Zyklus &lt; Takt")</f>
        <v>⚠ Engpass — Zyklus &gt; Takt</v>
      </c>
    </row>
    <row r="25" spans="1:10" ht="39.6" customHeight="1" x14ac:dyDescent="0.3">
      <c r="A25" s="39">
        <f>7</f>
        <v>7</v>
      </c>
      <c r="B25" s="26" t="s">
        <v>151</v>
      </c>
      <c r="C25" s="31">
        <v>4</v>
      </c>
      <c r="D25" s="52">
        <f>$D$6*$D$8</f>
        <v>13.6</v>
      </c>
      <c r="E25" s="53">
        <f t="shared" si="1"/>
        <v>3.4</v>
      </c>
      <c r="F25" s="40">
        <f t="shared" si="2"/>
        <v>3.5</v>
      </c>
      <c r="G25" s="52">
        <f t="shared" si="3"/>
        <v>14</v>
      </c>
      <c r="H25" s="71">
        <f t="shared" si="4"/>
        <v>-0.40000000000000036</v>
      </c>
      <c r="I25" s="72">
        <f t="shared" si="5"/>
        <v>1.0294117647058825</v>
      </c>
      <c r="J25" s="27" t="str">
        <f t="shared" si="6"/>
        <v>⚠ Engpass — Zyklus &gt; Takt</v>
      </c>
    </row>
    <row r="26" spans="1:10" ht="39.6" customHeight="1" x14ac:dyDescent="0.3">
      <c r="A26" s="11">
        <f>8</f>
        <v>8</v>
      </c>
      <c r="B26" s="19" t="s">
        <v>148</v>
      </c>
      <c r="C26" s="31">
        <v>10</v>
      </c>
      <c r="D26" s="51">
        <f t="shared" ref="D26:D30" si="7">$D$9</f>
        <v>34</v>
      </c>
      <c r="E26" s="47">
        <f t="shared" si="1"/>
        <v>3.4</v>
      </c>
      <c r="F26" s="36">
        <f t="shared" si="2"/>
        <v>3.5</v>
      </c>
      <c r="G26" s="51">
        <f t="shared" si="3"/>
        <v>35</v>
      </c>
      <c r="H26" s="37">
        <f t="shared" si="4"/>
        <v>-1</v>
      </c>
      <c r="I26" s="38">
        <f t="shared" si="5"/>
        <v>1.0294117647058822</v>
      </c>
      <c r="J26" s="25" t="str">
        <f t="shared" si="6"/>
        <v>⚠ Engpass — Zyklus &gt; Takt</v>
      </c>
    </row>
    <row r="27" spans="1:10" ht="39.6" customHeight="1" x14ac:dyDescent="0.3">
      <c r="A27" s="11">
        <f>9</f>
        <v>9</v>
      </c>
      <c r="B27" s="19" t="s">
        <v>152</v>
      </c>
      <c r="C27" s="31">
        <v>14</v>
      </c>
      <c r="D27" s="51">
        <f t="shared" si="7"/>
        <v>34</v>
      </c>
      <c r="E27" s="47">
        <f t="shared" si="1"/>
        <v>2.4285714285714284</v>
      </c>
      <c r="F27" s="36">
        <f t="shared" si="2"/>
        <v>3.5</v>
      </c>
      <c r="G27" s="51">
        <f t="shared" si="3"/>
        <v>49</v>
      </c>
      <c r="H27" s="37">
        <f t="shared" si="4"/>
        <v>-15</v>
      </c>
      <c r="I27" s="38">
        <f t="shared" si="5"/>
        <v>1.4411764705882353</v>
      </c>
      <c r="J27" s="25" t="str">
        <f t="shared" si="6"/>
        <v>⚠ Engpass — Zyklus &gt; Takt</v>
      </c>
    </row>
    <row r="28" spans="1:10" ht="26.4" customHeight="1" x14ac:dyDescent="0.3">
      <c r="A28" s="32">
        <f>10</f>
        <v>10</v>
      </c>
      <c r="B28" s="14" t="s">
        <v>148</v>
      </c>
      <c r="C28" s="31">
        <v>8</v>
      </c>
      <c r="D28" s="49">
        <f t="shared" si="7"/>
        <v>34</v>
      </c>
      <c r="E28" s="50">
        <f t="shared" si="1"/>
        <v>4.25</v>
      </c>
      <c r="F28" s="33">
        <f t="shared" si="2"/>
        <v>3.5</v>
      </c>
      <c r="G28" s="49">
        <f t="shared" si="3"/>
        <v>28</v>
      </c>
      <c r="H28" s="34">
        <f t="shared" si="4"/>
        <v>6</v>
      </c>
      <c r="I28" s="35">
        <f t="shared" si="5"/>
        <v>0.82352941176470584</v>
      </c>
      <c r="J28" s="62" t="str">
        <f>IF(F28&gt;E28,"⚠ Engpass — Zyklus &gt; Takt","✔ Ausreichend — Zyklus &lt; Takt")</f>
        <v>✔ Ausreichend — Zyklus &lt; Takt</v>
      </c>
    </row>
    <row r="29" spans="1:10" ht="39.6" customHeight="1" x14ac:dyDescent="0.3">
      <c r="A29" s="11">
        <f>11</f>
        <v>11</v>
      </c>
      <c r="B29" s="19" t="s">
        <v>148</v>
      </c>
      <c r="C29" s="31">
        <v>11</v>
      </c>
      <c r="D29" s="51">
        <f t="shared" si="7"/>
        <v>34</v>
      </c>
      <c r="E29" s="47">
        <f t="shared" si="1"/>
        <v>3.0909090909090908</v>
      </c>
      <c r="F29" s="36">
        <f t="shared" si="2"/>
        <v>3.5</v>
      </c>
      <c r="G29" s="51">
        <f t="shared" si="3"/>
        <v>38.5</v>
      </c>
      <c r="H29" s="37">
        <f t="shared" si="4"/>
        <v>-4.5</v>
      </c>
      <c r="I29" s="38">
        <f t="shared" si="5"/>
        <v>1.1323529411764706</v>
      </c>
      <c r="J29" s="25" t="str">
        <f t="shared" si="6"/>
        <v>⚠ Engpass — Zyklus &gt; Takt</v>
      </c>
    </row>
    <row r="30" spans="1:10" ht="39.6" customHeight="1" x14ac:dyDescent="0.3">
      <c r="A30" s="11">
        <f>12</f>
        <v>12</v>
      </c>
      <c r="B30" s="19" t="s">
        <v>153</v>
      </c>
      <c r="C30" s="31">
        <v>18</v>
      </c>
      <c r="D30" s="51">
        <f t="shared" si="7"/>
        <v>34</v>
      </c>
      <c r="E30" s="47">
        <f t="shared" si="1"/>
        <v>1.8888888888888888</v>
      </c>
      <c r="F30" s="36">
        <f t="shared" si="2"/>
        <v>3.5</v>
      </c>
      <c r="G30" s="51">
        <f t="shared" si="3"/>
        <v>63</v>
      </c>
      <c r="H30" s="37">
        <f t="shared" si="4"/>
        <v>-29</v>
      </c>
      <c r="I30" s="38">
        <f t="shared" si="5"/>
        <v>1.8529411764705883</v>
      </c>
      <c r="J30" s="25" t="str">
        <f t="shared" si="6"/>
        <v>⚠ Engpass — Zyklus &gt; Takt</v>
      </c>
    </row>
    <row r="31" spans="1:10" ht="22.05" customHeight="1" x14ac:dyDescent="0.3">
      <c r="A31" s="80" t="s">
        <v>198</v>
      </c>
      <c r="B31" s="74"/>
      <c r="C31" s="74"/>
      <c r="D31" s="74"/>
      <c r="E31" s="74"/>
      <c r="F31" s="74"/>
      <c r="G31" s="74"/>
      <c r="H31" s="74"/>
      <c r="I31" s="74"/>
      <c r="J31" s="75"/>
    </row>
    <row r="32" spans="1:10" ht="22.05" customHeight="1" x14ac:dyDescent="0.3">
      <c r="A32" s="109" t="s">
        <v>201</v>
      </c>
      <c r="B32" s="75"/>
      <c r="C32" s="104" t="s">
        <v>189</v>
      </c>
      <c r="D32" s="74"/>
      <c r="E32" s="75"/>
      <c r="F32" s="85" t="s">
        <v>190</v>
      </c>
      <c r="G32" s="74"/>
      <c r="H32" s="74"/>
      <c r="I32" s="74"/>
      <c r="J32" s="75"/>
    </row>
    <row r="33" spans="1:10" ht="22.05" customHeight="1" x14ac:dyDescent="0.3">
      <c r="A33" s="105" t="s">
        <v>200</v>
      </c>
      <c r="B33" s="75"/>
      <c r="C33" s="108" t="s">
        <v>191</v>
      </c>
      <c r="D33" s="74"/>
      <c r="E33" s="75"/>
      <c r="F33" s="96" t="s">
        <v>192</v>
      </c>
      <c r="G33" s="74"/>
      <c r="H33" s="74"/>
      <c r="I33" s="74"/>
      <c r="J33" s="75"/>
    </row>
    <row r="34" spans="1:10" ht="22.05" customHeight="1" x14ac:dyDescent="0.3">
      <c r="A34" s="86" t="s">
        <v>199</v>
      </c>
      <c r="B34" s="75"/>
      <c r="C34" s="91" t="s">
        <v>193</v>
      </c>
      <c r="D34" s="74"/>
      <c r="E34" s="75"/>
      <c r="F34" s="95" t="s">
        <v>194</v>
      </c>
      <c r="G34" s="74"/>
      <c r="H34" s="74"/>
      <c r="I34" s="74"/>
      <c r="J34" s="75"/>
    </row>
    <row r="35" spans="1:10" ht="22.05" customHeight="1" x14ac:dyDescent="0.3">
      <c r="A35" s="94" t="s">
        <v>202</v>
      </c>
      <c r="B35" s="75"/>
      <c r="C35" s="100" t="s">
        <v>195</v>
      </c>
      <c r="D35" s="74"/>
      <c r="E35" s="75"/>
      <c r="F35" s="110" t="s">
        <v>196</v>
      </c>
      <c r="G35" s="111"/>
      <c r="H35" s="111"/>
      <c r="I35" s="111"/>
      <c r="J35" s="112"/>
    </row>
    <row r="36" spans="1:10" x14ac:dyDescent="0.3">
      <c r="A36" s="107" t="s">
        <v>203</v>
      </c>
      <c r="B36" s="75"/>
      <c r="C36" s="98" t="s">
        <v>151</v>
      </c>
      <c r="D36" s="74"/>
      <c r="E36" s="75"/>
      <c r="F36" s="101" t="s">
        <v>197</v>
      </c>
      <c r="G36" s="74"/>
      <c r="H36" s="74"/>
      <c r="I36" s="74"/>
      <c r="J36" s="75"/>
    </row>
    <row r="38" spans="1:10" ht="175.2" customHeight="1" x14ac:dyDescent="0.3">
      <c r="A38" s="92" t="s">
        <v>207</v>
      </c>
      <c r="B38" s="74"/>
      <c r="C38" s="74"/>
      <c r="D38" s="74"/>
      <c r="E38" s="74"/>
      <c r="F38" s="74"/>
      <c r="G38" s="74"/>
      <c r="H38" s="74"/>
      <c r="I38" s="74"/>
      <c r="J38" s="75"/>
    </row>
  </sheetData>
  <mergeCells count="54">
    <mergeCell ref="A1:I1"/>
    <mergeCell ref="A13:B13"/>
    <mergeCell ref="C33:E33"/>
    <mergeCell ref="A7:C7"/>
    <mergeCell ref="A32:B32"/>
    <mergeCell ref="F36:J36"/>
    <mergeCell ref="F12:I12"/>
    <mergeCell ref="A9:C9"/>
    <mergeCell ref="A14:B14"/>
    <mergeCell ref="D4:E4"/>
    <mergeCell ref="F15:I15"/>
    <mergeCell ref="F5:I5"/>
    <mergeCell ref="D9:E9"/>
    <mergeCell ref="C15:E15"/>
    <mergeCell ref="C32:E32"/>
    <mergeCell ref="A33:B33"/>
    <mergeCell ref="D8:E8"/>
    <mergeCell ref="A36:B36"/>
    <mergeCell ref="C14:E14"/>
    <mergeCell ref="A11:I11"/>
    <mergeCell ref="F8:I8"/>
    <mergeCell ref="A2:I2"/>
    <mergeCell ref="A5:C5"/>
    <mergeCell ref="A38:J38"/>
    <mergeCell ref="F4:I4"/>
    <mergeCell ref="A8:C8"/>
    <mergeCell ref="A35:B35"/>
    <mergeCell ref="A17:I17"/>
    <mergeCell ref="F34:J34"/>
    <mergeCell ref="A4:C4"/>
    <mergeCell ref="F33:J33"/>
    <mergeCell ref="F6:I6"/>
    <mergeCell ref="A12:B12"/>
    <mergeCell ref="C36:E36"/>
    <mergeCell ref="D7:E7"/>
    <mergeCell ref="C13:E13"/>
    <mergeCell ref="A3:C3"/>
    <mergeCell ref="C12:E12"/>
    <mergeCell ref="F14:I14"/>
    <mergeCell ref="D6:E6"/>
    <mergeCell ref="C34:E34"/>
    <mergeCell ref="C35:E35"/>
    <mergeCell ref="F7:I7"/>
    <mergeCell ref="F3:I3"/>
    <mergeCell ref="D3:E3"/>
    <mergeCell ref="D5:E5"/>
    <mergeCell ref="A6:C6"/>
    <mergeCell ref="F35:J35"/>
    <mergeCell ref="F13:I13"/>
    <mergeCell ref="A15:B15"/>
    <mergeCell ref="F9:I9"/>
    <mergeCell ref="F32:J32"/>
    <mergeCell ref="A34:B34"/>
    <mergeCell ref="A31:J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Stückliste</vt:lpstr>
      <vt:lpstr>Lagerbestand</vt:lpstr>
      <vt:lpstr>Bewertungsmodell</vt:lpstr>
      <vt:lpstr>Produktionsplan</vt:lpstr>
      <vt:lpstr>Kapazitätsplanung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görkem güven</cp:lastModifiedBy>
  <dcterms:created xsi:type="dcterms:W3CDTF">2026-05-19T18:31:27Z</dcterms:created>
  <dcterms:modified xsi:type="dcterms:W3CDTF">2026-05-20T14:58:34Z</dcterms:modified>
</cp:coreProperties>
</file>